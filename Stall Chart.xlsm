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piraxsarco-my.sharepoint.com/personal/johnhenry_fischer_us_spiraxsarco_com/Documents/Documents/HX Stall/"/>
    </mc:Choice>
  </mc:AlternateContent>
  <xr:revisionPtr revIDLastSave="0" documentId="8_{57738677-A234-4F05-8F2C-A03E573E7973}" xr6:coauthVersionLast="47" xr6:coauthVersionMax="47" xr10:uidLastSave="{00000000-0000-0000-0000-000000000000}"/>
  <workbookProtection workbookPassword="D923" lockStructure="1"/>
  <bookViews>
    <workbookView xWindow="-28920" yWindow="-5550" windowWidth="29040" windowHeight="15840" tabRatio="598" xr2:uid="{00000000-000D-0000-FFFF-FFFF00000000}"/>
  </bookViews>
  <sheets>
    <sheet name="STALL CHART" sheetId="35" r:id="rId1"/>
    <sheet name="Properties" sheetId="21" state="hidden" r:id="rId2"/>
    <sheet name="Functions" sheetId="18" state="hidden" r:id="rId3"/>
  </sheets>
  <definedNames>
    <definedName name="_xlnm.Print_Area" localSheetId="0">'STALL CHART'!$B$1:$X$31</definedName>
    <definedName name="Stall">'STALL CHART'!$AI$14:$AI$15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" i="35" l="1"/>
  <c r="E30" i="35"/>
  <c r="B20" i="35"/>
  <c r="B30" i="35" s="1"/>
  <c r="D20" i="35"/>
  <c r="AA20" i="35" s="1"/>
  <c r="H20" i="35" s="1"/>
  <c r="D50" i="35"/>
  <c r="D41" i="35"/>
  <c r="D42" i="35"/>
  <c r="D43" i="35"/>
  <c r="D44" i="35"/>
  <c r="D45" i="35"/>
  <c r="D46" i="35"/>
  <c r="D47" i="35"/>
  <c r="D48" i="35"/>
  <c r="D49" i="35"/>
  <c r="D40" i="35"/>
  <c r="G7" i="21"/>
  <c r="H36" i="35"/>
  <c r="F36" i="35"/>
  <c r="F34" i="35"/>
  <c r="H34" i="35"/>
  <c r="G36" i="35"/>
  <c r="G35" i="35" s="1"/>
  <c r="G34" i="35"/>
  <c r="G33" i="35" s="1"/>
  <c r="E34" i="35"/>
  <c r="E33" i="35"/>
  <c r="E36" i="35"/>
  <c r="E35" i="35" s="1"/>
  <c r="F67" i="18"/>
  <c r="F54" i="18"/>
  <c r="F36" i="18"/>
  <c r="F38" i="18"/>
  <c r="F94" i="18"/>
  <c r="F9" i="18"/>
  <c r="F51" i="18"/>
  <c r="F30" i="18"/>
  <c r="F100" i="18"/>
  <c r="C15" i="21"/>
  <c r="F44" i="18"/>
  <c r="F95" i="18"/>
  <c r="F42" i="18"/>
  <c r="F107" i="18"/>
  <c r="C10" i="21"/>
  <c r="F61" i="18"/>
  <c r="C28" i="21"/>
  <c r="F23" i="18"/>
  <c r="C11" i="21"/>
  <c r="G15" i="21"/>
  <c r="F53" i="18"/>
  <c r="F97" i="18"/>
  <c r="F62" i="18"/>
  <c r="F103" i="18"/>
  <c r="F76" i="18"/>
  <c r="F39" i="18"/>
  <c r="F111" i="18"/>
  <c r="G8" i="21"/>
  <c r="E14" i="35"/>
  <c r="F55" i="18"/>
  <c r="C14" i="21"/>
  <c r="G24" i="21"/>
  <c r="F45" i="18"/>
  <c r="F16" i="18"/>
  <c r="F81" i="18"/>
  <c r="F80" i="18"/>
  <c r="F37" i="18"/>
  <c r="G28" i="21"/>
  <c r="G29" i="21"/>
  <c r="F11" i="18"/>
  <c r="C26" i="21"/>
  <c r="F22" i="18"/>
  <c r="F46" i="18"/>
  <c r="F90" i="18"/>
  <c r="F24" i="18"/>
  <c r="F12" i="18"/>
  <c r="F60" i="18"/>
  <c r="F77" i="18"/>
  <c r="F68" i="18"/>
  <c r="F18" i="18"/>
  <c r="G12" i="21"/>
  <c r="F28" i="18"/>
  <c r="F56" i="18"/>
  <c r="F87" i="18"/>
  <c r="C29" i="21"/>
  <c r="G16" i="21"/>
  <c r="C12" i="21"/>
  <c r="F104" i="18"/>
  <c r="F85" i="18"/>
  <c r="F34" i="18"/>
  <c r="F73" i="18"/>
  <c r="F48" i="18"/>
  <c r="F78" i="18"/>
  <c r="F31" i="18"/>
  <c r="F19" i="18"/>
  <c r="F40" i="18"/>
  <c r="C16" i="21"/>
  <c r="F32" i="18"/>
  <c r="F91" i="18"/>
  <c r="F72" i="18"/>
  <c r="F29" i="18"/>
  <c r="F26" i="18"/>
  <c r="F47" i="18"/>
  <c r="C22" i="21"/>
  <c r="F69" i="18"/>
  <c r="F99" i="18"/>
  <c r="F15" i="18"/>
  <c r="G14" i="21"/>
  <c r="F75" i="18"/>
  <c r="F20" i="18"/>
  <c r="C23" i="21"/>
  <c r="G22" i="21"/>
  <c r="F57" i="18"/>
  <c r="F64" i="18"/>
  <c r="F21" i="18"/>
  <c r="C8" i="21"/>
  <c r="F41" i="18"/>
  <c r="F14" i="18"/>
  <c r="F59" i="18"/>
  <c r="G25" i="21"/>
  <c r="F25" i="18"/>
  <c r="F63" i="18"/>
  <c r="G26" i="21"/>
  <c r="F112" i="18"/>
  <c r="G23" i="21"/>
  <c r="F98" i="18"/>
  <c r="F96" i="18"/>
  <c r="F52" i="18"/>
  <c r="C24" i="21"/>
  <c r="G11" i="21"/>
  <c r="F79" i="18"/>
  <c r="F106" i="18"/>
  <c r="F86" i="18"/>
  <c r="F33" i="18"/>
  <c r="F10" i="18"/>
  <c r="F65" i="18"/>
  <c r="F71" i="18"/>
  <c r="G10" i="21"/>
  <c r="F70" i="18"/>
  <c r="E13" i="35"/>
  <c r="I30" i="35"/>
  <c r="F30" i="35"/>
  <c r="I20" i="35"/>
  <c r="B26" i="35" l="1"/>
  <c r="B23" i="35"/>
  <c r="B27" i="35"/>
  <c r="B29" i="35"/>
  <c r="B24" i="35"/>
  <c r="B25" i="35"/>
  <c r="B28" i="35"/>
  <c r="B22" i="35"/>
  <c r="B21" i="35"/>
  <c r="D25" i="35"/>
  <c r="D26" i="35"/>
  <c r="D23" i="35"/>
  <c r="D29" i="35"/>
  <c r="D22" i="35"/>
  <c r="D21" i="35"/>
  <c r="D27" i="35"/>
  <c r="AA27" i="35" s="1"/>
  <c r="H27" i="35" s="1"/>
  <c r="D24" i="35"/>
  <c r="C27" i="21"/>
  <c r="E40" i="35"/>
  <c r="E48" i="35"/>
  <c r="E41" i="35"/>
  <c r="E42" i="35"/>
  <c r="E50" i="35"/>
  <c r="E47" i="35"/>
  <c r="E46" i="35"/>
  <c r="E44" i="35"/>
  <c r="E45" i="35"/>
  <c r="E43" i="35"/>
  <c r="E49" i="35"/>
  <c r="D49" i="18"/>
  <c r="C17" i="21"/>
  <c r="F46" i="35"/>
  <c r="F50" i="35"/>
  <c r="F41" i="35"/>
  <c r="F47" i="35"/>
  <c r="F43" i="35"/>
  <c r="G43" i="35" s="1"/>
  <c r="F40" i="35"/>
  <c r="F45" i="35"/>
  <c r="F44" i="35"/>
  <c r="F49" i="35"/>
  <c r="F42" i="35"/>
  <c r="F48" i="35"/>
  <c r="G27" i="21"/>
  <c r="G17" i="21"/>
  <c r="Z20" i="35"/>
  <c r="E20" i="35" s="1"/>
  <c r="D30" i="35"/>
  <c r="D28" i="35"/>
  <c r="C25" i="21"/>
  <c r="F49" i="18"/>
  <c r="I27" i="35"/>
  <c r="F20" i="35"/>
  <c r="J20" i="35"/>
  <c r="G41" i="35" l="1"/>
  <c r="G48" i="35"/>
  <c r="G45" i="35"/>
  <c r="G40" i="35"/>
  <c r="G50" i="35"/>
  <c r="AA29" i="35"/>
  <c r="H29" i="35" s="1"/>
  <c r="Z29" i="35"/>
  <c r="E29" i="35" s="1"/>
  <c r="Z23" i="35"/>
  <c r="E23" i="35" s="1"/>
  <c r="AA23" i="35"/>
  <c r="H23" i="35" s="1"/>
  <c r="AA22" i="35"/>
  <c r="H22" i="35" s="1"/>
  <c r="Z22" i="35"/>
  <c r="E22" i="35" s="1"/>
  <c r="Z24" i="35"/>
  <c r="E24" i="35" s="1"/>
  <c r="AA24" i="35"/>
  <c r="H24" i="35" s="1"/>
  <c r="Z27" i="35"/>
  <c r="E27" i="35" s="1"/>
  <c r="Z21" i="35"/>
  <c r="E21" i="35" s="1"/>
  <c r="AA21" i="35"/>
  <c r="H21" i="35" s="1"/>
  <c r="AA26" i="35"/>
  <c r="H26" i="35" s="1"/>
  <c r="Z26" i="35"/>
  <c r="E26" i="35" s="1"/>
  <c r="Z25" i="35"/>
  <c r="E25" i="35" s="1"/>
  <c r="AA25" i="35"/>
  <c r="H25" i="35" s="1"/>
  <c r="G49" i="35"/>
  <c r="G46" i="35"/>
  <c r="G42" i="35"/>
  <c r="AA28" i="35"/>
  <c r="H28" i="35" s="1"/>
  <c r="Z28" i="35"/>
  <c r="E28" i="35" s="1"/>
  <c r="G44" i="35"/>
  <c r="G47" i="35"/>
  <c r="I26" i="35"/>
  <c r="F21" i="35"/>
  <c r="F23" i="35"/>
  <c r="J27" i="35"/>
  <c r="F29" i="35"/>
  <c r="F28" i="35"/>
  <c r="F22" i="35"/>
  <c r="F26" i="35"/>
  <c r="J30" i="35"/>
  <c r="I29" i="35"/>
  <c r="G30" i="35"/>
  <c r="F24" i="35"/>
  <c r="F25" i="35"/>
  <c r="F27" i="35"/>
  <c r="I28" i="35"/>
  <c r="I25" i="35"/>
  <c r="I24" i="35"/>
  <c r="I21" i="35"/>
  <c r="I23" i="35"/>
  <c r="I22" i="35"/>
  <c r="G20" i="35"/>
  <c r="G26" i="35"/>
  <c r="J26" i="35"/>
  <c r="J23" i="35"/>
  <c r="G27" i="35"/>
  <c r="J21" i="35"/>
  <c r="G21" i="35"/>
  <c r="G23" i="35"/>
  <c r="J22" i="35"/>
  <c r="G25" i="35"/>
  <c r="G22" i="35"/>
  <c r="J28" i="35"/>
  <c r="G29" i="35"/>
  <c r="J25" i="35"/>
  <c r="J24" i="35"/>
  <c r="G28" i="35"/>
  <c r="G24" i="35"/>
  <c r="J29" i="35"/>
</calcChain>
</file>

<file path=xl/sharedStrings.xml><?xml version="1.0" encoding="utf-8"?>
<sst xmlns="http://schemas.openxmlformats.org/spreadsheetml/2006/main" count="549" uniqueCount="271">
  <si>
    <t>CUSTOMER</t>
  </si>
  <si>
    <t>UNIT</t>
  </si>
  <si>
    <t>HEAT EXCHANGER</t>
  </si>
  <si>
    <t>DATE</t>
  </si>
  <si>
    <t>Duty (BTU/hr)</t>
  </si>
  <si>
    <t>Surface Area (ft²)</t>
  </si>
  <si>
    <t>HTC (Clean)</t>
  </si>
  <si>
    <t>HTC (Service)</t>
  </si>
  <si>
    <t>Process (Ti)</t>
  </si>
  <si>
    <t>Process (To)</t>
  </si>
  <si>
    <t>Backpressure (Max)</t>
  </si>
  <si>
    <t>Stall</t>
  </si>
  <si>
    <t>Backpressure (Min)</t>
  </si>
  <si>
    <t>Yes</t>
  </si>
  <si>
    <t>Max Feed Rate</t>
  </si>
  <si>
    <t>No</t>
  </si>
  <si>
    <t>Clean</t>
  </si>
  <si>
    <t>Steam Flow</t>
  </si>
  <si>
    <t>Service</t>
  </si>
  <si>
    <t>Capacity</t>
  </si>
  <si>
    <t>% Load</t>
  </si>
  <si>
    <t>Duty (BTU/hr</t>
  </si>
  <si>
    <t>Steam (t)</t>
  </si>
  <si>
    <t xml:space="preserve">Steam (p) </t>
  </si>
  <si>
    <t>lbs/hr</t>
  </si>
  <si>
    <t>Steam (p)</t>
  </si>
  <si>
    <t>Stall Points</t>
  </si>
  <si>
    <t>STALL Max</t>
  </si>
  <si>
    <t>STALL Min</t>
  </si>
  <si>
    <t>PROCESS</t>
  </si>
  <si>
    <t>BP1</t>
  </si>
  <si>
    <t>BP2</t>
  </si>
  <si>
    <t>BP Range</t>
  </si>
  <si>
    <t>X Steam Tables  (English Units)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</si>
  <si>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</si>
  <si>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</si>
  <si>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</si>
  <si>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The steam tables are free and provided as is. We take no responsibilities for any errors in the code or damage thereby.</t>
  </si>
  <si>
    <t>www.x-eng.com</t>
  </si>
  <si>
    <t>OBS: This workbook uses macros. Set security options in Tools:Macro:Security… to enable macros.</t>
  </si>
  <si>
    <t>Saturation properties given temperature</t>
  </si>
  <si>
    <t>Saturation properties given pressure</t>
  </si>
  <si>
    <t>Temperature</t>
  </si>
  <si>
    <t>degF</t>
  </si>
  <si>
    <t>Pressure</t>
  </si>
  <si>
    <t>psi (a)</t>
  </si>
  <si>
    <t>Saturation pressure</t>
  </si>
  <si>
    <t>Saturation temperature</t>
  </si>
  <si>
    <t>Liquid</t>
  </si>
  <si>
    <t>Enthalpy</t>
  </si>
  <si>
    <t>btu/lb</t>
  </si>
  <si>
    <t>Density</t>
  </si>
  <si>
    <t>lb /ft3</t>
  </si>
  <si>
    <t>Entropy</t>
  </si>
  <si>
    <t>btu/(lb F)</t>
  </si>
  <si>
    <t>Vapour</t>
  </si>
  <si>
    <t>Vapour enthalpy</t>
  </si>
  <si>
    <t>Vapour density</t>
  </si>
  <si>
    <t>Vapour Entropy</t>
  </si>
  <si>
    <t>vapour Entropy</t>
  </si>
  <si>
    <t>Evaporation energy</t>
  </si>
  <si>
    <t>Properties given pressure and temperature</t>
  </si>
  <si>
    <t>Properties given pressure and enthalpy</t>
  </si>
  <si>
    <t>Vapour fraction</t>
  </si>
  <si>
    <t>%</t>
  </si>
  <si>
    <t>IF97 Region</t>
  </si>
  <si>
    <t>Phase</t>
  </si>
  <si>
    <t xml:space="preserve">Isobaric heat capacity </t>
  </si>
  <si>
    <t>Speed of sound</t>
  </si>
  <si>
    <t>ft/s</t>
  </si>
  <si>
    <t>X Steam Tables</t>
  </si>
  <si>
    <t>v2.3</t>
  </si>
  <si>
    <t>http://www.x-eng.com</t>
  </si>
  <si>
    <t xml:space="preserve">Steam tables by Magnus Holmgren according to IAPWS IF-97 </t>
  </si>
  <si>
    <t>The excel scripts are stored inside this workbook. (No extra files are needed. Start from a copy of this workbook. This page can be removed)</t>
  </si>
  <si>
    <t>For error-reporting, feedback, other units etc. contact:</t>
  </si>
  <si>
    <t>magnus@x-eng.com</t>
  </si>
  <si>
    <t>Tsat_p</t>
  </si>
  <si>
    <t>psi</t>
  </si>
  <si>
    <t>deg F</t>
  </si>
  <si>
    <t>T_ph</t>
  </si>
  <si>
    <t>Temperture as a function of pressure and enthalpy</t>
  </si>
  <si>
    <t>T_ps</t>
  </si>
  <si>
    <t>Temperture as a function of pressure and entropy</t>
  </si>
  <si>
    <t>T_hs</t>
  </si>
  <si>
    <t>Temperture as a function of enthalpy and entropy</t>
  </si>
  <si>
    <t>psat_T</t>
  </si>
  <si>
    <t>p_hs</t>
  </si>
  <si>
    <t xml:space="preserve">Pressure as a function of h and s. </t>
  </si>
  <si>
    <t>p_hrho</t>
  </si>
  <si>
    <t>lb/ft3</t>
  </si>
  <si>
    <t>Pressure as a function of h and rho (density). Very unaccurate for solid water region since it's almost incompressible!</t>
  </si>
  <si>
    <t>hV_p</t>
  </si>
  <si>
    <t>Saturated vapour enthalpy</t>
  </si>
  <si>
    <t>hL_p</t>
  </si>
  <si>
    <t>Saturated liquid enthalpy</t>
  </si>
  <si>
    <t>hV_T</t>
  </si>
  <si>
    <t>hL_T</t>
  </si>
  <si>
    <t>h_pT</t>
  </si>
  <si>
    <t>Entalpy as a function of pressure and temperature.</t>
  </si>
  <si>
    <t>h_ps</t>
  </si>
  <si>
    <t>Entalpy as a function of pressure and entropy.</t>
  </si>
  <si>
    <t>h_px</t>
  </si>
  <si>
    <t>Entalpy as a function of pressure and vapour fraction</t>
  </si>
  <si>
    <t>h_Tx</t>
  </si>
  <si>
    <t>Entalpy as a function of temperature and vapour fraction</t>
  </si>
  <si>
    <t>h_prho</t>
  </si>
  <si>
    <t>Entalpy as a function of pressure and density. Observe for low temperatures (liquid) this equation has 2 solutions. (Not valid!!)</t>
  </si>
  <si>
    <t>Specific volume</t>
  </si>
  <si>
    <t>vV_p</t>
  </si>
  <si>
    <t>ft3/lb</t>
  </si>
  <si>
    <t>Saturated vapour volume</t>
  </si>
  <si>
    <t>vL_p</t>
  </si>
  <si>
    <t>Saturated liquid volume</t>
  </si>
  <si>
    <t>vV_T</t>
  </si>
  <si>
    <t>vL_T</t>
  </si>
  <si>
    <t>v_pT</t>
  </si>
  <si>
    <t>Specific volume as a function of pressure and temperature.</t>
  </si>
  <si>
    <t>v_ph</t>
  </si>
  <si>
    <t>Specific volume as a function of pressure and enthalpy</t>
  </si>
  <si>
    <t>v_ps</t>
  </si>
  <si>
    <t>Specific volume as a function of pressure and entropy.</t>
  </si>
  <si>
    <t>rhoV_p</t>
  </si>
  <si>
    <t>Saturated vapour density</t>
  </si>
  <si>
    <t>rhoL_p</t>
  </si>
  <si>
    <t>Saturated liquid density</t>
  </si>
  <si>
    <t>rhoV_T</t>
  </si>
  <si>
    <t>rhoL_T</t>
  </si>
  <si>
    <t>rho_pT</t>
  </si>
  <si>
    <t>Density as a function of pressure and temperature.</t>
  </si>
  <si>
    <t>rho_ph</t>
  </si>
  <si>
    <t>Density as a function of pressure and enthalpy</t>
  </si>
  <si>
    <t>rho_ps</t>
  </si>
  <si>
    <t>Density as a function of pressure and entropy.</t>
  </si>
  <si>
    <t xml:space="preserve">Specific entropy </t>
  </si>
  <si>
    <t>sV_p</t>
  </si>
  <si>
    <t>Saturated vapour entropy</t>
  </si>
  <si>
    <t>sL_p</t>
  </si>
  <si>
    <t>Saturated liquid entropy</t>
  </si>
  <si>
    <t>sV_T</t>
  </si>
  <si>
    <t>sL_T</t>
  </si>
  <si>
    <t>s_pT</t>
  </si>
  <si>
    <t>Specific entropy as a function of pressure and temperature (Returns saturated vapour entalpy if mixture.)</t>
  </si>
  <si>
    <t>s_ph</t>
  </si>
  <si>
    <t>Specific entropy as a function of pressure and enthalpy</t>
  </si>
  <si>
    <t xml:space="preserve">Specific internal energy </t>
  </si>
  <si>
    <t>uV_p</t>
  </si>
  <si>
    <t>Saturated vapour internal energy</t>
  </si>
  <si>
    <t>uL_p</t>
  </si>
  <si>
    <t>Saturated liquid internal energy</t>
  </si>
  <si>
    <t>uV_T</t>
  </si>
  <si>
    <t>uL_T</t>
  </si>
  <si>
    <t>u_pT</t>
  </si>
  <si>
    <t>Specific internal energy as a function of pressure and temperature.</t>
  </si>
  <si>
    <t>u_ph</t>
  </si>
  <si>
    <t>Specific internal energy as a function of pressure and enthalpy</t>
  </si>
  <si>
    <t>u_ps</t>
  </si>
  <si>
    <t>Specific internal energy as a function of pressure and entropy.</t>
  </si>
  <si>
    <t xml:space="preserve">Specific isobaric heat capacity </t>
  </si>
  <si>
    <t>CpV_p</t>
  </si>
  <si>
    <t xml:space="preserve">Saturated vapour heat capacity </t>
  </si>
  <si>
    <t>CpL_p</t>
  </si>
  <si>
    <t xml:space="preserve">Saturated liquid heat capacity </t>
  </si>
  <si>
    <t>CpV_T</t>
  </si>
  <si>
    <t>CpL_T</t>
  </si>
  <si>
    <t>Cp_pT</t>
  </si>
  <si>
    <t>Specific isobaric heat capacity as a function of pressure and temperature.</t>
  </si>
  <si>
    <t>Cp_ph</t>
  </si>
  <si>
    <t>Specific isobaric heat capacity as a function of pressure and enthalpy</t>
  </si>
  <si>
    <t>Cp_ps</t>
  </si>
  <si>
    <t>Specific isobaric heat capacity as a function of pressure and entropy.</t>
  </si>
  <si>
    <t xml:space="preserve">Specific isochoric heat capacity </t>
  </si>
  <si>
    <t>CvV_p</t>
  </si>
  <si>
    <t>Saturated vapour isochoric heat capacity</t>
  </si>
  <si>
    <t>CvL_p</t>
  </si>
  <si>
    <t>Saturated liquid isochoric heat capacity</t>
  </si>
  <si>
    <t>CvV_T</t>
  </si>
  <si>
    <t>CvL_T</t>
  </si>
  <si>
    <t>Cv_pT</t>
  </si>
  <si>
    <t>Specific isochoric heat capacity as a function of pressure and temperature.</t>
  </si>
  <si>
    <t>Cv_ph</t>
  </si>
  <si>
    <t>Specific isochoric heat capacity as a function of pressure and enthalpy</t>
  </si>
  <si>
    <t>Cv_ps</t>
  </si>
  <si>
    <t>Specific isochoric heat capacity as a function of pressure and entropy.</t>
  </si>
  <si>
    <t xml:space="preserve">Speed of sound </t>
  </si>
  <si>
    <t>wV_p</t>
  </si>
  <si>
    <t>Saturated vapour speed of sound</t>
  </si>
  <si>
    <t>wL_p</t>
  </si>
  <si>
    <t>Saturated liquid speed of sound</t>
  </si>
  <si>
    <t>wV_T</t>
  </si>
  <si>
    <t>wL_T</t>
  </si>
  <si>
    <t>w_pT</t>
  </si>
  <si>
    <t>Speed of sound as a function of pressure and temperature.</t>
  </si>
  <si>
    <t>w_ph</t>
  </si>
  <si>
    <t>Speed of sound as a function of pressure and enthalpy</t>
  </si>
  <si>
    <t>w_ps</t>
  </si>
  <si>
    <t>Speed of sound as a function of pressure and entropy.</t>
  </si>
  <si>
    <t>Dynamic Viscosity</t>
  </si>
  <si>
    <t>Viscosity is not part of IAPWS Steam IF97. Equations from "Revised Release on the IAPWS Formulation 1985 for the Viscosity of Ordinary Water Substance", 2003 are used.</t>
  </si>
  <si>
    <t>Viscosity in the mixed region (4) is interpolated according to the density. This is not true since it will be two fases.</t>
  </si>
  <si>
    <t>my_pT</t>
  </si>
  <si>
    <t>lb/ft/hr</t>
  </si>
  <si>
    <t>Viscosity as a function of pressure and temperature.</t>
  </si>
  <si>
    <t>my_ph</t>
  </si>
  <si>
    <t>Viscosity as a function of pressure and enthalpy</t>
  </si>
  <si>
    <t>my_ps</t>
  </si>
  <si>
    <t>Viscosity as a function of pressure and entropy.</t>
  </si>
  <si>
    <t>Prandtl</t>
  </si>
  <si>
    <t>Calcualted as Cp*my/tc</t>
  </si>
  <si>
    <t>pr_pT</t>
  </si>
  <si>
    <t>-</t>
  </si>
  <si>
    <t>pr_ph</t>
  </si>
  <si>
    <t>Thermal Conductivity</t>
  </si>
  <si>
    <t>Revised release on the IAPS Formulation 1985 for the Thermal Conductivity of ordinary water substance (IAPWS 1998)</t>
  </si>
  <si>
    <t>tcL_p</t>
  </si>
  <si>
    <t>btu/(h*ft*F)</t>
  </si>
  <si>
    <t>Saturated vapour thermal conductivity</t>
  </si>
  <si>
    <t>tcV_p</t>
  </si>
  <si>
    <t>Saturated liquid thermal conductivity</t>
  </si>
  <si>
    <t>tcL_T</t>
  </si>
  <si>
    <t>tcV_T</t>
  </si>
  <si>
    <t>tc_pT</t>
  </si>
  <si>
    <t>Thermal conductivity as a function of pressure and temperature.</t>
  </si>
  <si>
    <t>tc_ph</t>
  </si>
  <si>
    <t>Thermal conductivity as a function of pressure and enthalpy</t>
  </si>
  <si>
    <t>tc_hs</t>
  </si>
  <si>
    <t>Thermal conductivity as a function of enthalpy and entropy</t>
  </si>
  <si>
    <t>Surface Tension</t>
  </si>
  <si>
    <t>IAPWS Release on Surface Tension of Ordinary Water Substance, September 1994</t>
  </si>
  <si>
    <t>st_T</t>
  </si>
  <si>
    <t>lb/ft</t>
  </si>
  <si>
    <t>Surface tension for two phase water/steam as a function of T</t>
  </si>
  <si>
    <t>st_p</t>
  </si>
  <si>
    <t>x_ph</t>
  </si>
  <si>
    <t>Vapour fraction as a function of pressure and enthalpy</t>
  </si>
  <si>
    <t>x_ps</t>
  </si>
  <si>
    <t>Vapour fraction as a function of pressure and entropy.</t>
  </si>
  <si>
    <t>Vapour Volume Fraction</t>
  </si>
  <si>
    <t>Observe that vapour volume fraction is very sensitive. Vapour volume is about 1000 times greater than liquid volume and therfore vapour volume fraction</t>
  </si>
  <si>
    <t>gets close to the accurancy of steam IF-97</t>
  </si>
  <si>
    <t>vx_ph</t>
  </si>
  <si>
    <t>Vapour volume fraction as a function of pressure and enthalpy</t>
  </si>
  <si>
    <t>vx_ps</t>
  </si>
  <si>
    <t>Vapour volume fraction as a function of pressure and entropy.</t>
  </si>
  <si>
    <t>Version history</t>
  </si>
  <si>
    <t>News in V2.4</t>
  </si>
  <si>
    <t>* Functions by p,rho inplemented in matlab also.</t>
  </si>
  <si>
    <t>* Many missing ; in matlab causing printouts detected.</t>
  </si>
  <si>
    <t>* OpenOffice version introduced. (Fixed calculation differences in open office and excel)</t>
  </si>
  <si>
    <t>* Matlab error giving varaible undefined in some backwards solutions fixed.</t>
  </si>
  <si>
    <t>News in V2.3</t>
  </si>
  <si>
    <t>* Option Explicit, gives more efficient calculations.</t>
  </si>
  <si>
    <t>* Extensive testing</t>
  </si>
  <si>
    <t>* my_ph not defined in region 4.</t>
  </si>
  <si>
    <t>* Problems at region border for h4V_p to adress solver problems at the exact border.</t>
  </si>
  <si>
    <t>* Problem at fast border check in region_ph fixed.</t>
  </si>
  <si>
    <t>News in V2.2</t>
  </si>
  <si>
    <t>* Fixed error in Cp_ph</t>
  </si>
  <si>
    <t>* Function p_hrho added. (Very good for calcualting pressure when heating a volume with water/steam mixture.)</t>
  </si>
  <si>
    <t>* Fixed error in T_hs return no value for vet region bellow the water saturation line.</t>
  </si>
  <si>
    <t>* Prandtl number added</t>
  </si>
  <si>
    <t>News in V2.1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</si>
  <si>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</si>
  <si>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</si>
  <si>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</si>
  <si>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</si>
  <si>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* Calling functions of h and s added.</t>
  </si>
  <si>
    <t>* Thermal conductivity, Surface tension added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</si>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</sst>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E+00"/>
    <numFmt numFmtId="166" formatCode="0.0"/>
    <numFmt numFmtId="167" formatCode="0.000"/>
  </numFmts>
  <fonts count="1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u/>
      <sz val="8"/>
      <color indexed="12"/>
      <name val="Arial"/>
      <family val="2"/>
    </font>
    <font>
      <sz val="14"/>
      <name val="Arial"/>
      <family val="2"/>
    </font>
    <font>
      <b/>
      <u/>
      <sz val="8"/>
      <color indexed="12"/>
      <name val="Arial"/>
      <family val="2"/>
    </font>
    <font>
      <b/>
      <i/>
      <sz val="12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10"/>
      <color rgb="FFCCFFFF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4" fillId="0" borderId="0" xfId="0" applyFont="1"/>
    <xf numFmtId="164" fontId="1" fillId="0" borderId="0" xfId="0" applyNumberFormat="1" applyFont="1"/>
    <xf numFmtId="0" fontId="5" fillId="0" borderId="0" xfId="0" applyFont="1"/>
    <xf numFmtId="165" fontId="1" fillId="0" borderId="0" xfId="0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10" fillId="0" borderId="0" xfId="0" applyFont="1"/>
    <xf numFmtId="0" fontId="11" fillId="0" borderId="0" xfId="1" applyFont="1" applyAlignment="1" applyProtection="1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2" fillId="0" borderId="0" xfId="0" applyFont="1"/>
    <xf numFmtId="0" fontId="9" fillId="0" borderId="0" xfId="1" applyFont="1" applyAlignment="1" applyProtection="1"/>
    <xf numFmtId="0" fontId="3" fillId="0" borderId="0" xfId="1" applyAlignment="1" applyProtection="1"/>
    <xf numFmtId="167" fontId="0" fillId="0" borderId="0" xfId="0" applyNumberFormat="1"/>
    <xf numFmtId="2" fontId="0" fillId="0" borderId="0" xfId="0" applyNumberFormat="1"/>
    <xf numFmtId="166" fontId="0" fillId="0" borderId="0" xfId="0" applyNumberFormat="1"/>
    <xf numFmtId="166" fontId="0" fillId="0" borderId="4" xfId="0" applyNumberFormat="1" applyBorder="1"/>
    <xf numFmtId="0" fontId="1" fillId="0" borderId="0" xfId="0" applyFont="1" applyAlignment="1">
      <alignment horizontal="center"/>
    </xf>
    <xf numFmtId="0" fontId="0" fillId="2" borderId="6" xfId="0" applyFill="1" applyBorder="1"/>
    <xf numFmtId="2" fontId="1" fillId="3" borderId="7" xfId="0" applyNumberFormat="1" applyFont="1" applyFill="1" applyBorder="1"/>
    <xf numFmtId="0" fontId="0" fillId="2" borderId="8" xfId="0" applyFill="1" applyBorder="1"/>
    <xf numFmtId="2" fontId="1" fillId="3" borderId="0" xfId="0" applyNumberFormat="1" applyFont="1" applyFill="1"/>
    <xf numFmtId="167" fontId="1" fillId="3" borderId="7" xfId="0" applyNumberFormat="1" applyFont="1" applyFill="1" applyBorder="1"/>
    <xf numFmtId="0" fontId="0" fillId="4" borderId="0" xfId="0" applyFill="1" applyProtection="1">
      <protection hidden="1"/>
    </xf>
    <xf numFmtId="0" fontId="0" fillId="4" borderId="0" xfId="0" applyFill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4" borderId="0" xfId="0" applyFont="1" applyFill="1" applyProtection="1">
      <protection hidden="1"/>
    </xf>
    <xf numFmtId="0" fontId="2" fillId="4" borderId="0" xfId="0" applyFont="1" applyFill="1" applyAlignment="1" applyProtection="1">
      <alignment vertical="center"/>
      <protection hidden="1"/>
    </xf>
    <xf numFmtId="0" fontId="0" fillId="4" borderId="0" xfId="0" applyFill="1" applyAlignment="1" applyProtection="1">
      <alignment vertical="center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/>
      <protection hidden="1"/>
    </xf>
    <xf numFmtId="3" fontId="0" fillId="5" borderId="9" xfId="0" applyNumberFormat="1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2" fontId="2" fillId="6" borderId="9" xfId="0" applyNumberFormat="1" applyFont="1" applyFill="1" applyBorder="1" applyAlignment="1" applyProtection="1">
      <alignment horizontal="center" vertical="center"/>
      <protection hidden="1"/>
    </xf>
    <xf numFmtId="0" fontId="2" fillId="7" borderId="9" xfId="0" applyFont="1" applyFill="1" applyBorder="1" applyAlignment="1" applyProtection="1">
      <alignment vertical="center"/>
      <protection hidden="1"/>
    </xf>
    <xf numFmtId="0" fontId="2" fillId="7" borderId="9" xfId="0" applyFont="1" applyFill="1" applyBorder="1" applyAlignment="1" applyProtection="1">
      <alignment horizontal="center" vertical="center"/>
      <protection hidden="1"/>
    </xf>
    <xf numFmtId="0" fontId="2" fillId="7" borderId="10" xfId="0" applyFont="1" applyFill="1" applyBorder="1" applyProtection="1">
      <protection hidden="1"/>
    </xf>
    <xf numFmtId="0" fontId="2" fillId="7" borderId="9" xfId="0" applyFont="1" applyFill="1" applyBorder="1" applyAlignment="1" applyProtection="1">
      <alignment horizontal="center"/>
      <protection hidden="1"/>
    </xf>
    <xf numFmtId="0" fontId="0" fillId="6" borderId="10" xfId="0" applyFill="1" applyBorder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horizontal="center"/>
      <protection hidden="1"/>
    </xf>
    <xf numFmtId="2" fontId="0" fillId="6" borderId="9" xfId="0" applyNumberFormat="1" applyFill="1" applyBorder="1" applyAlignment="1" applyProtection="1">
      <alignment horizontal="center"/>
      <protection hidden="1"/>
    </xf>
    <xf numFmtId="0" fontId="0" fillId="6" borderId="9" xfId="0" applyFill="1" applyBorder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0" xfId="0" applyFill="1" applyAlignment="1" applyProtection="1">
      <alignment horizontal="center" vertical="center"/>
      <protection hidden="1"/>
    </xf>
    <xf numFmtId="0" fontId="0" fillId="6" borderId="11" xfId="0" applyFill="1" applyBorder="1" applyAlignment="1" applyProtection="1">
      <alignment horizontal="center" vertical="center"/>
      <protection hidden="1"/>
    </xf>
    <xf numFmtId="38" fontId="0" fillId="6" borderId="9" xfId="0" applyNumberFormat="1" applyFill="1" applyBorder="1" applyAlignment="1" applyProtection="1">
      <alignment vertical="center"/>
      <protection hidden="1"/>
    </xf>
    <xf numFmtId="2" fontId="15" fillId="4" borderId="0" xfId="0" applyNumberFormat="1" applyFont="1" applyFill="1" applyProtection="1"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horizontal="center" vertical="center"/>
      <protection hidden="1"/>
    </xf>
    <xf numFmtId="0" fontId="2" fillId="7" borderId="9" xfId="0" applyFont="1" applyFill="1" applyBorder="1" applyAlignment="1" applyProtection="1">
      <alignment horizontal="center" vertical="center" wrapText="1"/>
      <protection hidden="1"/>
    </xf>
    <xf numFmtId="3" fontId="0" fillId="6" borderId="9" xfId="0" applyNumberFormat="1" applyFill="1" applyBorder="1" applyAlignment="1" applyProtection="1">
      <alignment horizontal="center" vertical="center"/>
      <protection hidden="1"/>
    </xf>
    <xf numFmtId="0" fontId="2" fillId="5" borderId="9" xfId="0" applyFont="1" applyFill="1" applyBorder="1" applyAlignment="1" applyProtection="1">
      <alignment horizontal="center"/>
      <protection locked="0"/>
    </xf>
    <xf numFmtId="166" fontId="0" fillId="6" borderId="9" xfId="0" applyNumberFormat="1" applyFill="1" applyBorder="1" applyAlignment="1" applyProtection="1">
      <alignment horizontal="center" vertical="center"/>
      <protection hidden="1"/>
    </xf>
    <xf numFmtId="0" fontId="14" fillId="0" borderId="0" xfId="0" applyFont="1" applyProtection="1">
      <protection hidden="1"/>
    </xf>
    <xf numFmtId="0" fontId="2" fillId="7" borderId="9" xfId="0" applyFont="1" applyFill="1" applyBorder="1" applyAlignment="1" applyProtection="1">
      <alignment horizontal="center" vertical="center"/>
      <protection hidden="1"/>
    </xf>
    <xf numFmtId="0" fontId="2" fillId="5" borderId="10" xfId="0" applyFont="1" applyFill="1" applyBorder="1" applyAlignment="1" applyProtection="1">
      <alignment horizontal="left" vertical="center"/>
      <protection locked="0"/>
    </xf>
    <xf numFmtId="0" fontId="0" fillId="5" borderId="12" xfId="0" applyFill="1" applyBorder="1" applyAlignment="1" applyProtection="1">
      <alignment horizontal="left" vertical="center"/>
      <protection locked="0"/>
    </xf>
    <xf numFmtId="0" fontId="0" fillId="5" borderId="11" xfId="0" applyFill="1" applyBorder="1" applyAlignment="1" applyProtection="1">
      <alignment horizontal="left" vertical="center"/>
      <protection locked="0"/>
    </xf>
    <xf numFmtId="49" fontId="2" fillId="5" borderId="10" xfId="0" applyNumberFormat="1" applyFont="1" applyFill="1" applyBorder="1" applyAlignment="1" applyProtection="1">
      <alignment horizontal="left" vertical="center"/>
      <protection locked="0"/>
    </xf>
    <xf numFmtId="49" fontId="0" fillId="5" borderId="12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0" fontId="2" fillId="8" borderId="9" xfId="0" applyFont="1" applyFill="1" applyBorder="1" applyAlignment="1" applyProtection="1">
      <alignment horizontal="left" vertical="center"/>
      <protection hidden="1"/>
    </xf>
    <xf numFmtId="0" fontId="2" fillId="7" borderId="9" xfId="0" applyFont="1" applyFill="1" applyBorder="1" applyAlignment="1" applyProtection="1">
      <alignment horizontal="left" vertical="center"/>
      <protection hidden="1"/>
    </xf>
    <xf numFmtId="0" fontId="2" fillId="5" borderId="9" xfId="0" applyFon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STALL CHART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v>BP Min</c:v>
          </c:tx>
          <c:spPr>
            <a:noFill/>
            <a:ln>
              <a:solidFill>
                <a:schemeClr val="accent2">
                  <a:lumMod val="75000"/>
                </a:schemeClr>
              </a:solidFill>
            </a:ln>
          </c:spPr>
          <c:val>
            <c:numRef>
              <c:f>'STALL CHART'!$E$40:$E$50</c:f>
              <c:numCache>
                <c:formatCode>0.00</c:formatCode>
                <c:ptCount val="11"/>
                <c:pt idx="0">
                  <c:v>211.96764099019282</c:v>
                </c:pt>
                <c:pt idx="1">
                  <c:v>211.96764099019282</c:v>
                </c:pt>
                <c:pt idx="2">
                  <c:v>211.96764099019282</c:v>
                </c:pt>
                <c:pt idx="3">
                  <c:v>211.96764099019282</c:v>
                </c:pt>
                <c:pt idx="4">
                  <c:v>211.96764099019282</c:v>
                </c:pt>
                <c:pt idx="5">
                  <c:v>211.96764099019282</c:v>
                </c:pt>
                <c:pt idx="6">
                  <c:v>211.96764099019282</c:v>
                </c:pt>
                <c:pt idx="7">
                  <c:v>211.96764099019282</c:v>
                </c:pt>
                <c:pt idx="8">
                  <c:v>211.96764099019282</c:v>
                </c:pt>
                <c:pt idx="9">
                  <c:v>211.96764099019282</c:v>
                </c:pt>
                <c:pt idx="10">
                  <c:v>211.96764099019282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B-44EF-A825-53D17E1735B2}"/>
            </c:ext>
          </c:extLst>
        </c:ser>
        <c:ser>
          <c:idx val="4"/>
          <c:order val="4"/>
          <c:tx>
            <c:strRef>
              <c:f>'STALL CHART'!$G$39</c:f>
              <c:strCache>
                <c:ptCount val="1"/>
                <c:pt idx="0">
                  <c:v>BP Range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  <a:alpha val="44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</c:spPr>
          <c:val>
            <c:numRef>
              <c:f>'STALL CHART'!$G$40:$G$50</c:f>
              <c:numCache>
                <c:formatCode>0.00</c:formatCode>
                <c:ptCount val="11"/>
                <c:pt idx="0">
                  <c:v>104.03278783353716</c:v>
                </c:pt>
                <c:pt idx="1">
                  <c:v>104.03278783353716</c:v>
                </c:pt>
                <c:pt idx="2">
                  <c:v>104.03278783353716</c:v>
                </c:pt>
                <c:pt idx="3">
                  <c:v>104.03278783353716</c:v>
                </c:pt>
                <c:pt idx="4">
                  <c:v>104.03278783353716</c:v>
                </c:pt>
                <c:pt idx="5">
                  <c:v>104.03278783353716</c:v>
                </c:pt>
                <c:pt idx="6">
                  <c:v>104.03278783353716</c:v>
                </c:pt>
                <c:pt idx="7">
                  <c:v>104.03278783353716</c:v>
                </c:pt>
                <c:pt idx="8">
                  <c:v>104.03278783353716</c:v>
                </c:pt>
                <c:pt idx="9">
                  <c:v>104.03278783353716</c:v>
                </c:pt>
                <c:pt idx="10">
                  <c:v>104.03278783353716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5B-44EF-A825-53D17E173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577176"/>
        <c:axId val="368577560"/>
      </c:areaChart>
      <c:lineChart>
        <c:grouping val="standard"/>
        <c:varyColors val="0"/>
        <c:ser>
          <c:idx val="0"/>
          <c:order val="0"/>
          <c:tx>
            <c:strRef>
              <c:f>'STALL CHART'!$E$17</c:f>
              <c:strCache>
                <c:ptCount val="1"/>
                <c:pt idx="0">
                  <c:v>Clean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'STALL CHART'!$C$20:$C$30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cat>
          <c:val>
            <c:numRef>
              <c:f>'STALL CHART'!$E$20:$E$30</c:f>
              <c:numCache>
                <c:formatCode>0.0</c:formatCode>
                <c:ptCount val="11"/>
                <c:pt idx="0">
                  <c:v>349.09556454572243</c:v>
                </c:pt>
                <c:pt idx="1">
                  <c:v>338.25481727748911</c:v>
                </c:pt>
                <c:pt idx="2">
                  <c:v>328.27197992721801</c:v>
                </c:pt>
                <c:pt idx="3">
                  <c:v>319.37767150690968</c:v>
                </c:pt>
                <c:pt idx="4">
                  <c:v>311.8610844228761</c:v>
                </c:pt>
                <c:pt idx="5">
                  <c:v>306.05331028735611</c:v>
                </c:pt>
                <c:pt idx="6">
                  <c:v>302.24181290108334</c:v>
                </c:pt>
                <c:pt idx="7">
                  <c:v>300.4345866215719</c:v>
                </c:pt>
                <c:pt idx="8">
                  <c:v>300.01650573186072</c:v>
                </c:pt>
                <c:pt idx="9">
                  <c:v>300.0000009080307</c:v>
                </c:pt>
                <c:pt idx="10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5B-44EF-A825-53D17E1735B2}"/>
            </c:ext>
          </c:extLst>
        </c:ser>
        <c:ser>
          <c:idx val="1"/>
          <c:order val="1"/>
          <c:tx>
            <c:strRef>
              <c:f>'STALL CHART'!$H$17</c:f>
              <c:strCache>
                <c:ptCount val="1"/>
                <c:pt idx="0">
                  <c:v>Service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'STALL CHART'!$H$20:$H$30</c:f>
              <c:numCache>
                <c:formatCode>0.0</c:formatCode>
                <c:ptCount val="11"/>
                <c:pt idx="0">
                  <c:v>381.73554729320284</c:v>
                </c:pt>
                <c:pt idx="1">
                  <c:v>366.03952696928565</c:v>
                </c:pt>
                <c:pt idx="2">
                  <c:v>351.14414128871221</c:v>
                </c:pt>
                <c:pt idx="3">
                  <c:v>337.30877864137102</c:v>
                </c:pt>
                <c:pt idx="4">
                  <c:v>324.89778442569229</c:v>
                </c:pt>
                <c:pt idx="5">
                  <c:v>314.41449050297547</c:v>
                </c:pt>
                <c:pt idx="6">
                  <c:v>306.5021113003865</c:v>
                </c:pt>
                <c:pt idx="7">
                  <c:v>301.77217702140649</c:v>
                </c:pt>
                <c:pt idx="8">
                  <c:v>300.13506990740041</c:v>
                </c:pt>
                <c:pt idx="9">
                  <c:v>300.00006075822222</c:v>
                </c:pt>
                <c:pt idx="10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5B-44EF-A825-53D17E1735B2}"/>
            </c:ext>
          </c:extLst>
        </c:ser>
        <c:ser>
          <c:idx val="2"/>
          <c:order val="2"/>
          <c:tx>
            <c:v>Process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'STALL CHART'!$D$40:$D$50</c:f>
              <c:numCache>
                <c:formatCode>General</c:formatCode>
                <c:ptCount val="1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5B-44EF-A825-53D17E173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577176"/>
        <c:axId val="368577560"/>
      </c:lineChart>
      <c:scatterChart>
        <c:scatterStyle val="lineMarker"/>
        <c:varyColors val="0"/>
        <c:ser>
          <c:idx val="5"/>
          <c:order val="5"/>
          <c:tx>
            <c:v>STL Mx CL</c:v>
          </c:tx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ln w="3175">
                <a:solidFill>
                  <a:srgbClr val="000000"/>
                </a:solidFill>
                <a:prstDash val="lgDashDot"/>
              </a:ln>
            </c:spPr>
          </c:errBars>
          <c:xVal>
            <c:numRef>
              <c:f>'STALL CHART'!$E$33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'STALL CHART'!$F$34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05B-44EF-A825-53D17E1735B2}"/>
            </c:ext>
          </c:extLst>
        </c:ser>
        <c:ser>
          <c:idx val="6"/>
          <c:order val="6"/>
          <c:tx>
            <c:v>STL Mn CL</c:v>
          </c:tx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ln w="3175">
                <a:solidFill>
                  <a:srgbClr val="000000"/>
                </a:solidFill>
                <a:prstDash val="lgDashDot"/>
              </a:ln>
            </c:spPr>
          </c:errBars>
          <c:xVal>
            <c:numRef>
              <c:f>'STALL CHART'!$E$35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'STALL CHART'!$F$36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05B-44EF-A825-53D17E1735B2}"/>
            </c:ext>
          </c:extLst>
        </c:ser>
        <c:ser>
          <c:idx val="7"/>
          <c:order val="7"/>
          <c:tx>
            <c:v>STL Mx SV</c:v>
          </c:tx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ln w="3175">
                <a:solidFill>
                  <a:srgbClr val="000000"/>
                </a:solidFill>
                <a:prstDash val="lgDashDot"/>
              </a:ln>
            </c:spPr>
          </c:errBars>
          <c:xVal>
            <c:numRef>
              <c:f>'STALL CHART'!$G$33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'STALL CHART'!$H$34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05B-44EF-A825-53D17E1735B2}"/>
            </c:ext>
          </c:extLst>
        </c:ser>
        <c:ser>
          <c:idx val="8"/>
          <c:order val="8"/>
          <c:tx>
            <c:v>STL Mn SV</c:v>
          </c:tx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ln w="3175">
                <a:solidFill>
                  <a:srgbClr val="000000"/>
                </a:solidFill>
                <a:prstDash val="lgDashDot"/>
              </a:ln>
            </c:spPr>
          </c:errBars>
          <c:xVal>
            <c:numRef>
              <c:f>'STALL CHART'!$G$35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'STALL CHART'!$H$36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05B-44EF-A825-53D17E173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577176"/>
        <c:axId val="368577560"/>
      </c:scatterChart>
      <c:catAx>
        <c:axId val="36857717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CAPACITY (%) STEAM PRESSURE (PSIG)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8577560"/>
        <c:crosses val="autoZero"/>
        <c:auto val="1"/>
        <c:lblAlgn val="ctr"/>
        <c:lblOffset val="100"/>
        <c:noMultiLvlLbl val="0"/>
      </c:catAx>
      <c:valAx>
        <c:axId val="368577560"/>
        <c:scaling>
          <c:orientation val="minMax"/>
          <c:max val="500"/>
          <c:min val="1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</a:rPr>
                  <a:t>TEMPERATURE (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°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Arial"/>
                  </a:rPr>
                  <a:t>F)</a:t>
                </a:r>
                <a:endParaRPr lang="en-US" sz="1000" b="1" i="0" u="none" strike="noStrike" baseline="0">
                  <a:solidFill>
                    <a:srgbClr val="000000"/>
                  </a:solidFill>
                  <a:latin typeface="Calibri"/>
                </a:endParaRP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8577176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6563937627875254"/>
          <c:y val="0.80285008281384829"/>
          <c:w val="0.12701918064770087"/>
          <c:h val="0.19114725687574052"/>
        </c:manualLayout>
      </c:layout>
      <c:overlay val="0"/>
      <c:txPr>
        <a:bodyPr/>
        <a:lstStyle/>
        <a:p>
          <a:pPr>
            <a:defRPr sz="59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257175</xdr:colOff>
      <xdr:row>18</xdr:row>
      <xdr:rowOff>19050</xdr:rowOff>
    </xdr:from>
    <xdr:to>
      <xdr:col>21</xdr:col>
      <xdr:colOff>10654</xdr:colOff>
      <xdr:row>18</xdr:row>
      <xdr:rowOff>19050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7277100" y="3343275"/>
          <a:ext cx="4315968" cy="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257175</xdr:colOff>
      <xdr:row>11</xdr:row>
      <xdr:rowOff>152400</xdr:rowOff>
    </xdr:from>
    <xdr:to>
      <xdr:col>21</xdr:col>
      <xdr:colOff>10654</xdr:colOff>
      <xdr:row>11</xdr:row>
      <xdr:rowOff>152400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7277100" y="1847850"/>
          <a:ext cx="4315968" cy="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6</xdr:row>
      <xdr:rowOff>9525</xdr:rowOff>
    </xdr:from>
    <xdr:to>
      <xdr:col>22</xdr:col>
      <xdr:colOff>514350</xdr:colOff>
      <xdr:row>30</xdr:row>
      <xdr:rowOff>38100</xdr:rowOff>
    </xdr:to>
    <xdr:grpSp>
      <xdr:nvGrpSpPr>
        <xdr:cNvPr id="94454" name="Group 18">
          <a:extLst>
            <a:ext uri="{FF2B5EF4-FFF2-40B4-BE49-F238E27FC236}">
              <a16:creationId xmlns:a16="http://schemas.microsoft.com/office/drawing/2014/main" id="{00000000-0008-0000-0000-0000F6700100}"/>
            </a:ext>
          </a:extLst>
        </xdr:cNvPr>
        <xdr:cNvGrpSpPr>
          <a:grpSpLocks/>
        </xdr:cNvGrpSpPr>
      </xdr:nvGrpSpPr>
      <xdr:grpSpPr bwMode="auto">
        <a:xfrm>
          <a:off x="6643688" y="1577975"/>
          <a:ext cx="6276975" cy="4579938"/>
          <a:chOff x="6315075" y="952500"/>
          <a:chExt cx="6134100" cy="4648200"/>
        </a:xfrm>
      </xdr:grpSpPr>
      <xdr:graphicFrame macro="">
        <xdr:nvGraphicFramePr>
          <xdr:cNvPr id="94457" name="Chart 1">
            <a:extLst>
              <a:ext uri="{FF2B5EF4-FFF2-40B4-BE49-F238E27FC236}">
                <a16:creationId xmlns:a16="http://schemas.microsoft.com/office/drawing/2014/main" id="{00000000-0008-0000-0000-0000F9700100}"/>
              </a:ext>
            </a:extLst>
          </xdr:cNvPr>
          <xdr:cNvGraphicFramePr>
            <a:graphicFrameLocks/>
          </xdr:cNvGraphicFramePr>
        </xdr:nvGraphicFramePr>
        <xdr:xfrm>
          <a:off x="6315075" y="952500"/>
          <a:ext cx="6134100" cy="4648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1538329" y="3869043"/>
            <a:ext cx="513427" cy="196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/>
              <a:t>0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1523356" y="2495665"/>
            <a:ext cx="513427" cy="196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/>
              <a:t>150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3356" y="3524442"/>
            <a:ext cx="513427" cy="196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/>
              <a:t>15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11523356" y="3066168"/>
            <a:ext cx="513427" cy="196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/>
              <a:t>50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11523356" y="3262571"/>
            <a:ext cx="513427" cy="2057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/>
              <a:t>35</a:t>
            </a: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11539789" y="4431636"/>
            <a:ext cx="513427" cy="196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/>
              <a:t>-10.8</a:t>
            </a: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11530782" y="3982715"/>
            <a:ext cx="513427" cy="196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/>
              <a:t>-3.0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1524817" y="2280557"/>
            <a:ext cx="513427" cy="196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/>
              <a:t>200</a:t>
            </a:r>
          </a:p>
        </xdr:txBody>
      </xdr:sp>
    </xdr:grpSp>
    <xdr:clientData/>
  </xdr:twoCellAnchor>
  <xdr:twoCellAnchor>
    <xdr:from>
      <xdr:col>16</xdr:col>
      <xdr:colOff>523875</xdr:colOff>
      <xdr:row>0</xdr:row>
      <xdr:rowOff>409575</xdr:rowOff>
    </xdr:from>
    <xdr:to>
      <xdr:col>22</xdr:col>
      <xdr:colOff>390525</xdr:colOff>
      <xdr:row>4</xdr:row>
      <xdr:rowOff>0</xdr:rowOff>
    </xdr:to>
    <xdr:pic>
      <xdr:nvPicPr>
        <xdr:cNvPr id="94455" name="Picture 20" descr="logo42_blue_RGB">
          <a:extLst>
            <a:ext uri="{FF2B5EF4-FFF2-40B4-BE49-F238E27FC236}">
              <a16:creationId xmlns:a16="http://schemas.microsoft.com/office/drawing/2014/main" id="{00000000-0008-0000-0000-0000F77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9825" y="409575"/>
          <a:ext cx="312420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96838</xdr:colOff>
      <xdr:row>7</xdr:row>
      <xdr:rowOff>125413</xdr:rowOff>
    </xdr:from>
    <xdr:to>
      <xdr:col>22</xdr:col>
      <xdr:colOff>96838</xdr:colOff>
      <xdr:row>8</xdr:row>
      <xdr:rowOff>115888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 bwMode="auto">
        <a:xfrm>
          <a:off x="12328526" y="1903413"/>
          <a:ext cx="539750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650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0.84951</cdr:x>
      <cdr:y>0.3975</cdr:y>
    </cdr:from>
    <cdr:to>
      <cdr:x>0.93286</cdr:x>
      <cdr:y>0.43926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5480719" y="1853970"/>
          <a:ext cx="537741" cy="1947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100</a:t>
          </a:r>
        </a:p>
      </cdr:txBody>
    </cdr:sp>
  </cdr:relSizeAnchor>
  <cdr:relSizeAnchor xmlns:cdr="http://schemas.openxmlformats.org/drawingml/2006/chartDrawing">
    <cdr:from>
      <cdr:x>0.85025</cdr:x>
      <cdr:y>0.24557</cdr:y>
    </cdr:from>
    <cdr:to>
      <cdr:x>0.93398</cdr:x>
      <cdr:y>0.2869</cdr:y>
    </cdr:to>
    <cdr:sp macro="" textlink="">
      <cdr:nvSpPr>
        <cdr:cNvPr id="3" name="TextBox 15"/>
        <cdr:cNvSpPr txBox="1"/>
      </cdr:nvSpPr>
      <cdr:spPr bwMode="auto">
        <a:xfrm xmlns:a="http://schemas.openxmlformats.org/drawingml/2006/main">
          <a:off x="5485501" y="1145357"/>
          <a:ext cx="540192" cy="192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300</a:t>
          </a:r>
        </a:p>
      </cdr:txBody>
    </cdr:sp>
  </cdr:relSizeAnchor>
  <cdr:relSizeAnchor xmlns:cdr="http://schemas.openxmlformats.org/drawingml/2006/chartDrawing">
    <cdr:from>
      <cdr:x>0.84902</cdr:x>
      <cdr:y>0.1945</cdr:y>
    </cdr:from>
    <cdr:to>
      <cdr:x>0.93275</cdr:x>
      <cdr:y>0.23557</cdr:y>
    </cdr:to>
    <cdr:sp macro="" textlink="">
      <cdr:nvSpPr>
        <cdr:cNvPr id="6" name="TextBox 15"/>
        <cdr:cNvSpPr txBox="1"/>
      </cdr:nvSpPr>
      <cdr:spPr bwMode="auto">
        <a:xfrm xmlns:a="http://schemas.openxmlformats.org/drawingml/2006/main">
          <a:off x="5477563" y="907163"/>
          <a:ext cx="540192" cy="1915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400</a:t>
          </a:r>
        </a:p>
      </cdr:txBody>
    </cdr:sp>
  </cdr:relSizeAnchor>
  <cdr:relSizeAnchor xmlns:cdr="http://schemas.openxmlformats.org/drawingml/2006/chartDrawing">
    <cdr:from>
      <cdr:x>0.85025</cdr:x>
      <cdr:y>0.15317</cdr:y>
    </cdr:from>
    <cdr:to>
      <cdr:x>0.93398</cdr:x>
      <cdr:y>0.1945</cdr:y>
    </cdr:to>
    <cdr:sp macro="" textlink="">
      <cdr:nvSpPr>
        <cdr:cNvPr id="7" name="TextBox 15"/>
        <cdr:cNvSpPr txBox="1"/>
      </cdr:nvSpPr>
      <cdr:spPr bwMode="auto">
        <a:xfrm xmlns:a="http://schemas.openxmlformats.org/drawingml/2006/main">
          <a:off x="5485501" y="714396"/>
          <a:ext cx="540192" cy="192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500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x-eng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magnus@x-eng.com" TargetMode="External"/><Relationship Id="rId1" Type="http://schemas.openxmlformats.org/officeDocument/2006/relationships/hyperlink" Target="http://www.x-e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I52"/>
  <sheetViews>
    <sheetView tabSelected="1" zoomScale="120" zoomScaleNormal="120" workbookViewId="0">
      <selection activeCell="D7" sqref="D7"/>
    </sheetView>
  </sheetViews>
  <sheetFormatPr defaultColWidth="7.54296875" defaultRowHeight="12.75" customHeight="1" x14ac:dyDescent="0.25"/>
  <cols>
    <col min="1" max="1" width="2.54296875" style="35" customWidth="1"/>
    <col min="2" max="2" width="9.26953125" style="35" customWidth="1"/>
    <col min="3" max="3" width="10.1796875" style="35" customWidth="1"/>
    <col min="4" max="4" width="11.26953125" style="35" customWidth="1"/>
    <col min="5" max="5" width="8.81640625" style="35" customWidth="1"/>
    <col min="6" max="6" width="9.26953125" style="41" customWidth="1"/>
    <col min="7" max="7" width="10.7265625" style="41" customWidth="1"/>
    <col min="8" max="8" width="9.26953125" style="41" customWidth="1"/>
    <col min="9" max="9" width="9.1796875" style="41" customWidth="1"/>
    <col min="10" max="10" width="10.81640625" style="41" customWidth="1"/>
    <col min="11" max="11" width="3.453125" style="35" customWidth="1"/>
    <col min="12" max="23" width="7.54296875" style="35"/>
    <col min="24" max="24" width="1.7265625" style="35" customWidth="1"/>
    <col min="25" max="16384" width="7.54296875" style="35"/>
  </cols>
  <sheetData>
    <row r="1" spans="1:35" ht="34.5" customHeight="1" x14ac:dyDescent="0.25">
      <c r="A1" s="33"/>
      <c r="B1" s="33"/>
      <c r="C1" s="33"/>
      <c r="D1" s="33"/>
      <c r="E1" s="33"/>
      <c r="F1" s="34"/>
      <c r="G1" s="34"/>
      <c r="H1" s="34"/>
      <c r="I1" s="34"/>
      <c r="J1" s="34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</row>
    <row r="2" spans="1:35" s="40" customFormat="1" ht="16.5" customHeight="1" x14ac:dyDescent="0.25">
      <c r="A2" s="38"/>
      <c r="B2" s="37" t="s">
        <v>0</v>
      </c>
      <c r="C2" s="37"/>
      <c r="D2" s="74"/>
      <c r="E2" s="74"/>
      <c r="F2" s="74"/>
      <c r="G2" s="74"/>
      <c r="H2" s="58"/>
      <c r="I2" s="58" t="s">
        <v>1</v>
      </c>
      <c r="J2" s="66"/>
      <c r="K2" s="67"/>
      <c r="L2" s="67"/>
      <c r="M2" s="67"/>
      <c r="N2" s="68"/>
      <c r="O2" s="38"/>
      <c r="P2" s="38"/>
      <c r="Q2" s="38"/>
      <c r="R2" s="38"/>
      <c r="S2" s="38"/>
      <c r="T2" s="38"/>
      <c r="U2" s="38"/>
      <c r="V2" s="38"/>
      <c r="W2" s="38"/>
      <c r="X2" s="38"/>
    </row>
    <row r="3" spans="1:35" s="40" customFormat="1" ht="12.75" customHeight="1" x14ac:dyDescent="0.25">
      <c r="A3" s="38"/>
      <c r="B3" s="37"/>
      <c r="C3" s="37"/>
      <c r="D3" s="38"/>
      <c r="E3" s="38"/>
      <c r="F3" s="39"/>
      <c r="G3" s="39"/>
      <c r="H3" s="39"/>
      <c r="I3" s="39"/>
      <c r="J3" s="39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</row>
    <row r="4" spans="1:35" s="40" customFormat="1" ht="17.25" customHeight="1" x14ac:dyDescent="0.25">
      <c r="A4" s="38"/>
      <c r="B4" s="37" t="s">
        <v>2</v>
      </c>
      <c r="C4" s="37"/>
      <c r="D4" s="74"/>
      <c r="E4" s="74"/>
      <c r="F4" s="74"/>
      <c r="G4" s="74"/>
      <c r="H4" s="58"/>
      <c r="I4" s="58" t="s">
        <v>3</v>
      </c>
      <c r="J4" s="69"/>
      <c r="K4" s="70"/>
      <c r="L4" s="70"/>
      <c r="M4" s="70"/>
      <c r="N4" s="71"/>
      <c r="O4" s="38"/>
      <c r="P4" s="38"/>
      <c r="Q4" s="38"/>
      <c r="R4" s="38"/>
      <c r="S4" s="38"/>
      <c r="T4" s="38"/>
      <c r="U4" s="38"/>
      <c r="V4" s="38"/>
      <c r="W4" s="38"/>
      <c r="X4" s="38"/>
    </row>
    <row r="5" spans="1:35" ht="30.75" customHeight="1" x14ac:dyDescent="0.25">
      <c r="A5" s="33"/>
      <c r="B5" s="33"/>
      <c r="C5" s="33"/>
      <c r="D5" s="33"/>
      <c r="E5" s="33"/>
      <c r="F5" s="34"/>
      <c r="G5" s="34"/>
      <c r="H5" s="34"/>
      <c r="I5" s="34"/>
      <c r="J5" s="34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</row>
    <row r="6" spans="1:35" ht="12.75" customHeight="1" x14ac:dyDescent="0.25">
      <c r="A6" s="33"/>
      <c r="B6" s="33"/>
      <c r="C6" s="33"/>
      <c r="D6" s="33"/>
      <c r="E6" s="33"/>
      <c r="F6" s="34"/>
      <c r="G6" s="34"/>
      <c r="H6" s="34"/>
      <c r="I6" s="34"/>
      <c r="J6" s="34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</row>
    <row r="7" spans="1:35" ht="16.5" customHeight="1" x14ac:dyDescent="0.25">
      <c r="A7" s="33"/>
      <c r="B7" s="73" t="s">
        <v>4</v>
      </c>
      <c r="C7" s="73"/>
      <c r="D7" s="42">
        <v>1257060</v>
      </c>
      <c r="E7" s="37"/>
      <c r="F7" s="34"/>
      <c r="G7" s="34"/>
      <c r="H7" s="34"/>
      <c r="I7" s="34"/>
      <c r="J7" s="34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</row>
    <row r="8" spans="1:35" s="40" customFormat="1" ht="16.5" customHeight="1" x14ac:dyDescent="0.25">
      <c r="A8" s="38"/>
      <c r="B8" s="73" t="s">
        <v>5</v>
      </c>
      <c r="C8" s="73"/>
      <c r="D8" s="43">
        <v>58.71</v>
      </c>
      <c r="E8" s="38"/>
      <c r="F8" s="39"/>
      <c r="G8" s="39"/>
      <c r="H8" s="39"/>
      <c r="I8" s="39"/>
      <c r="J8" s="39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</row>
    <row r="9" spans="1:35" s="40" customFormat="1" ht="16.5" customHeight="1" x14ac:dyDescent="0.25">
      <c r="A9" s="38"/>
      <c r="B9" s="72" t="s">
        <v>6</v>
      </c>
      <c r="C9" s="72"/>
      <c r="D9" s="43">
        <v>140</v>
      </c>
      <c r="E9" s="37"/>
      <c r="F9" s="39"/>
      <c r="G9" s="39"/>
      <c r="H9" s="39"/>
      <c r="I9" s="39"/>
      <c r="J9" s="39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</row>
    <row r="10" spans="1:35" s="40" customFormat="1" ht="16.5" customHeight="1" x14ac:dyDescent="0.25">
      <c r="A10" s="38"/>
      <c r="B10" s="72" t="s">
        <v>7</v>
      </c>
      <c r="C10" s="72"/>
      <c r="D10" s="43">
        <v>110</v>
      </c>
      <c r="E10" s="38"/>
      <c r="F10" s="39"/>
      <c r="G10" s="39"/>
      <c r="H10" s="39"/>
      <c r="I10" s="58"/>
      <c r="J10" s="5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</row>
    <row r="11" spans="1:35" s="40" customFormat="1" ht="16.5" customHeight="1" x14ac:dyDescent="0.25">
      <c r="A11" s="38"/>
      <c r="B11" s="73" t="s">
        <v>8</v>
      </c>
      <c r="C11" s="73"/>
      <c r="D11" s="43">
        <v>0</v>
      </c>
      <c r="E11" s="38"/>
      <c r="F11" s="39"/>
      <c r="G11" s="39"/>
      <c r="H11" s="39"/>
      <c r="I11" s="39"/>
      <c r="J11" s="39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</row>
    <row r="12" spans="1:35" s="40" customFormat="1" ht="16.5" customHeight="1" x14ac:dyDescent="0.25">
      <c r="A12" s="38"/>
      <c r="B12" s="73" t="s">
        <v>9</v>
      </c>
      <c r="C12" s="73"/>
      <c r="D12" s="43">
        <v>300</v>
      </c>
      <c r="E12" s="38"/>
      <c r="F12" s="39"/>
      <c r="G12" s="39"/>
      <c r="H12" s="39"/>
      <c r="I12" s="39"/>
      <c r="J12" s="39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</row>
    <row r="13" spans="1:35" s="40" customFormat="1" ht="16.5" customHeight="1" x14ac:dyDescent="0.25">
      <c r="A13" s="38"/>
      <c r="B13" s="72" t="s">
        <v>10</v>
      </c>
      <c r="C13" s="72"/>
      <c r="D13" s="43">
        <v>70</v>
      </c>
      <c r="E13" s="44">
        <f>Tsat_p((D13)+14.7)</f>
        <v>316.00042882372998</v>
      </c>
      <c r="F13" s="39"/>
      <c r="G13" s="39"/>
      <c r="H13" s="39"/>
      <c r="I13" s="39"/>
      <c r="J13" s="39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AI13" s="40" t="s">
        <v>11</v>
      </c>
    </row>
    <row r="14" spans="1:35" s="40" customFormat="1" ht="16.5" customHeight="1" x14ac:dyDescent="0.25">
      <c r="A14" s="38"/>
      <c r="B14" s="73" t="s">
        <v>12</v>
      </c>
      <c r="C14" s="73"/>
      <c r="D14" s="43">
        <v>0</v>
      </c>
      <c r="E14" s="44">
        <f>Tsat_p((D14)+14.7)</f>
        <v>211.96764099019282</v>
      </c>
      <c r="F14" s="39"/>
      <c r="G14" s="39"/>
      <c r="H14" s="39"/>
      <c r="I14" s="39"/>
      <c r="J14" s="39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AI14" s="40" t="s">
        <v>13</v>
      </c>
    </row>
    <row r="15" spans="1:35" s="40" customFormat="1" ht="16.5" customHeight="1" x14ac:dyDescent="0.25">
      <c r="A15" s="38"/>
      <c r="B15" s="73" t="s">
        <v>14</v>
      </c>
      <c r="C15" s="73"/>
      <c r="D15" s="42">
        <v>1057</v>
      </c>
      <c r="E15" s="38"/>
      <c r="F15" s="39"/>
      <c r="G15" s="39"/>
      <c r="H15" s="39"/>
      <c r="I15" s="39"/>
      <c r="J15" s="39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AI15" s="40" t="s">
        <v>15</v>
      </c>
    </row>
    <row r="16" spans="1:35" s="40" customFormat="1" ht="16.5" customHeight="1" x14ac:dyDescent="0.25">
      <c r="A16" s="38"/>
      <c r="B16" s="38"/>
      <c r="C16" s="37"/>
      <c r="D16" s="39"/>
      <c r="E16" s="38"/>
      <c r="F16" s="39"/>
      <c r="G16" s="39"/>
      <c r="H16" s="39"/>
      <c r="I16" s="39"/>
      <c r="J16" s="39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</row>
    <row r="17" spans="1:27" ht="19.5" customHeight="1" x14ac:dyDescent="0.25">
      <c r="A17" s="33"/>
      <c r="B17" s="33"/>
      <c r="C17" s="33"/>
      <c r="D17" s="33"/>
      <c r="E17" s="65" t="s">
        <v>16</v>
      </c>
      <c r="F17" s="65"/>
      <c r="G17" s="46" t="s">
        <v>17</v>
      </c>
      <c r="H17" s="65" t="s">
        <v>18</v>
      </c>
      <c r="I17" s="65"/>
      <c r="J17" s="46" t="s">
        <v>17</v>
      </c>
      <c r="K17" s="36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</row>
    <row r="18" spans="1:27" s="40" customFormat="1" ht="26.25" customHeight="1" x14ac:dyDescent="0.25">
      <c r="A18" s="38"/>
      <c r="B18" s="60" t="s">
        <v>19</v>
      </c>
      <c r="C18" s="46" t="s">
        <v>20</v>
      </c>
      <c r="D18" s="45" t="s">
        <v>21</v>
      </c>
      <c r="E18" s="46" t="s">
        <v>22</v>
      </c>
      <c r="F18" s="46" t="s">
        <v>23</v>
      </c>
      <c r="G18" s="46" t="s">
        <v>24</v>
      </c>
      <c r="H18" s="46" t="s">
        <v>22</v>
      </c>
      <c r="I18" s="46" t="s">
        <v>25</v>
      </c>
      <c r="J18" s="46" t="s">
        <v>24</v>
      </c>
      <c r="K18" s="37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</row>
    <row r="19" spans="1:27" ht="12.75" customHeight="1" x14ac:dyDescent="0.25">
      <c r="A19" s="33"/>
      <c r="B19" s="52"/>
      <c r="C19" s="52"/>
      <c r="D19" s="53"/>
      <c r="E19" s="54"/>
      <c r="F19" s="54"/>
      <c r="G19" s="54"/>
      <c r="H19" s="49"/>
      <c r="I19" s="55"/>
      <c r="J19" s="52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</row>
    <row r="20" spans="1:27" ht="12.75" customHeight="1" x14ac:dyDescent="0.25">
      <c r="A20" s="33"/>
      <c r="B20" s="61">
        <f>D15</f>
        <v>1057</v>
      </c>
      <c r="C20" s="52">
        <v>100</v>
      </c>
      <c r="D20" s="56">
        <f>D7</f>
        <v>1257060</v>
      </c>
      <c r="E20" s="63">
        <f>($D$12-(Z20*$D$11))/(1-Z20)</f>
        <v>349.09556454572243</v>
      </c>
      <c r="F20" s="63">
        <f>(psat_t(E20))-14.5</f>
        <v>118.52937684328106</v>
      </c>
      <c r="G20" s="61">
        <f t="shared" ref="G20:G30" si="0">D20/(hV_p(F20+14.7)-hL_p(F20+14.7))</f>
        <v>1442.2837162083654</v>
      </c>
      <c r="H20" s="63">
        <f>($D$12-(AA20*$D$11))/(1-AA20)</f>
        <v>381.73554729320284</v>
      </c>
      <c r="I20" s="63">
        <f>(psat_t(H20))-14.5</f>
        <v>185.31440324582269</v>
      </c>
      <c r="J20" s="61">
        <f t="shared" ref="J20:J30" si="1">D20/(hV_p(I20+14.7)-hL_p(I20+14.7))</f>
        <v>1490.7060089388599</v>
      </c>
      <c r="K20" s="57"/>
      <c r="L20" s="57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Z20" s="64">
        <f>EXP((($D$11-$D$12)*$D$9*$D$8)/D20)</f>
        <v>0.14063646041911299</v>
      </c>
      <c r="AA20" s="64">
        <f>EXP((($D$11-$D$12)*$D$10*$D$8)/D20)</f>
        <v>0.21411563023870947</v>
      </c>
    </row>
    <row r="21" spans="1:27" ht="12.75" customHeight="1" x14ac:dyDescent="0.25">
      <c r="A21" s="33"/>
      <c r="B21" s="61">
        <f>$B$20*C21/100</f>
        <v>951.3</v>
      </c>
      <c r="C21" s="52">
        <v>90</v>
      </c>
      <c r="D21" s="56">
        <f>($D$20/100)*C21</f>
        <v>1131354</v>
      </c>
      <c r="E21" s="63">
        <f t="shared" ref="E21:E30" si="2">($D$12-(Z21*$D$11))/(1-Z21)</f>
        <v>338.25481727748911</v>
      </c>
      <c r="F21" s="63">
        <f t="shared" ref="F21:F30" si="3">(psat_t(E21))-14.5</f>
        <v>100.771164346585</v>
      </c>
      <c r="G21" s="61">
        <f t="shared" si="0"/>
        <v>1284.9491445681201</v>
      </c>
      <c r="H21" s="63">
        <f t="shared" ref="H21:H29" si="4">($D$12-(AA21*$D$11))/(1-AA21)</f>
        <v>366.03952696928565</v>
      </c>
      <c r="I21" s="63">
        <f t="shared" ref="I21:I30" si="5">(psat_t(H21))-14.5</f>
        <v>150.53896680862428</v>
      </c>
      <c r="J21" s="61">
        <f t="shared" si="1"/>
        <v>1319.8518502259947</v>
      </c>
      <c r="K21" s="57"/>
      <c r="L21" s="57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Z21" s="64">
        <f t="shared" ref="Z21:Z29" si="6">EXP((($D$11-$D$12)*$D$9*$D$8)/D21)</f>
        <v>0.11309467100983391</v>
      </c>
      <c r="AA21" s="64">
        <f t="shared" ref="AA21:AA29" si="7">EXP((($D$11-$D$12)*$D$10*$D$8)/D21)</f>
        <v>0.1804163815751707</v>
      </c>
    </row>
    <row r="22" spans="1:27" ht="12.75" customHeight="1" x14ac:dyDescent="0.25">
      <c r="A22" s="33"/>
      <c r="B22" s="61">
        <f t="shared" ref="B22:B30" si="8">$B$20*C22/100</f>
        <v>845.6</v>
      </c>
      <c r="C22" s="52">
        <v>80</v>
      </c>
      <c r="D22" s="56">
        <f t="shared" ref="D22:D30" si="9">($D$20/100)*C22</f>
        <v>1005648</v>
      </c>
      <c r="E22" s="63">
        <f t="shared" si="2"/>
        <v>328.27197992721801</v>
      </c>
      <c r="F22" s="63">
        <f t="shared" si="3"/>
        <v>86.130419906102361</v>
      </c>
      <c r="G22" s="61">
        <f t="shared" si="0"/>
        <v>1131.9184916493525</v>
      </c>
      <c r="H22" s="63">
        <f t="shared" si="4"/>
        <v>351.14414128871221</v>
      </c>
      <c r="I22" s="63">
        <f t="shared" si="5"/>
        <v>122.11522659512261</v>
      </c>
      <c r="J22" s="61">
        <f t="shared" si="1"/>
        <v>1156.0914618792942</v>
      </c>
      <c r="K22" s="57"/>
      <c r="L22" s="57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Z22" s="64">
        <f t="shared" si="6"/>
        <v>8.6123646415043553E-2</v>
      </c>
      <c r="AA22" s="64">
        <f t="shared" si="7"/>
        <v>0.14564999176979362</v>
      </c>
    </row>
    <row r="23" spans="1:27" ht="12.75" customHeight="1" x14ac:dyDescent="0.25">
      <c r="A23" s="33"/>
      <c r="B23" s="61">
        <f t="shared" si="8"/>
        <v>739.9</v>
      </c>
      <c r="C23" s="52">
        <v>70</v>
      </c>
      <c r="D23" s="56">
        <f t="shared" si="9"/>
        <v>879942</v>
      </c>
      <c r="E23" s="63">
        <f t="shared" si="2"/>
        <v>319.37767150690968</v>
      </c>
      <c r="F23" s="63">
        <f t="shared" si="3"/>
        <v>74.367954046183698</v>
      </c>
      <c r="G23" s="61">
        <f t="shared" si="0"/>
        <v>982.74043737181057</v>
      </c>
      <c r="H23" s="63">
        <f t="shared" si="4"/>
        <v>337.30877864137102</v>
      </c>
      <c r="I23" s="63">
        <f t="shared" si="5"/>
        <v>99.315375199751585</v>
      </c>
      <c r="J23" s="61">
        <f t="shared" si="1"/>
        <v>998.53782692695563</v>
      </c>
      <c r="K23" s="57"/>
      <c r="L23" s="57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Z23" s="64">
        <f t="shared" si="6"/>
        <v>6.0673219312673311E-2</v>
      </c>
      <c r="AA23" s="64">
        <f t="shared" si="7"/>
        <v>0.11060719733309402</v>
      </c>
    </row>
    <row r="24" spans="1:27" ht="12.75" customHeight="1" x14ac:dyDescent="0.25">
      <c r="A24" s="33"/>
      <c r="B24" s="61">
        <f t="shared" si="8"/>
        <v>634.20000000000005</v>
      </c>
      <c r="C24" s="52">
        <v>60</v>
      </c>
      <c r="D24" s="56">
        <f t="shared" si="9"/>
        <v>754236</v>
      </c>
      <c r="E24" s="63">
        <f t="shared" si="2"/>
        <v>311.8610844228761</v>
      </c>
      <c r="F24" s="63">
        <f t="shared" si="3"/>
        <v>65.305774026155362</v>
      </c>
      <c r="G24" s="61">
        <f t="shared" si="0"/>
        <v>836.96289222848714</v>
      </c>
      <c r="H24" s="63">
        <f t="shared" si="4"/>
        <v>324.89778442569229</v>
      </c>
      <c r="I24" s="63">
        <f t="shared" si="5"/>
        <v>81.530857128760772</v>
      </c>
      <c r="J24" s="61">
        <f t="shared" si="1"/>
        <v>846.41039046584626</v>
      </c>
      <c r="K24" s="57"/>
      <c r="L24" s="57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Z24" s="64">
        <f t="shared" si="6"/>
        <v>3.8033230227573885E-2</v>
      </c>
      <c r="AA24" s="64">
        <f t="shared" si="7"/>
        <v>7.663266916302007E-2</v>
      </c>
    </row>
    <row r="25" spans="1:27" ht="12.75" customHeight="1" x14ac:dyDescent="0.25">
      <c r="A25" s="33"/>
      <c r="B25" s="61">
        <f t="shared" si="8"/>
        <v>528.5</v>
      </c>
      <c r="C25" s="52">
        <v>50</v>
      </c>
      <c r="D25" s="56">
        <f t="shared" si="9"/>
        <v>628530</v>
      </c>
      <c r="E25" s="63">
        <f t="shared" si="2"/>
        <v>306.05331028735611</v>
      </c>
      <c r="F25" s="63">
        <f t="shared" si="3"/>
        <v>58.822367831930819</v>
      </c>
      <c r="G25" s="61">
        <f t="shared" si="0"/>
        <v>694.0920302173547</v>
      </c>
      <c r="H25" s="63">
        <f t="shared" si="4"/>
        <v>314.41449050297547</v>
      </c>
      <c r="I25" s="63">
        <f t="shared" si="5"/>
        <v>68.297328745478353</v>
      </c>
      <c r="J25" s="61">
        <f t="shared" si="1"/>
        <v>698.97861206928451</v>
      </c>
      <c r="K25" s="57"/>
      <c r="L25" s="57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Z25" s="64">
        <f t="shared" si="6"/>
        <v>1.9778613999216738E-2</v>
      </c>
      <c r="AA25" s="64">
        <f t="shared" si="7"/>
        <v>4.584550311251976E-2</v>
      </c>
    </row>
    <row r="26" spans="1:27" ht="12.75" customHeight="1" x14ac:dyDescent="0.25">
      <c r="A26" s="33"/>
      <c r="B26" s="61">
        <f t="shared" si="8"/>
        <v>422.8</v>
      </c>
      <c r="C26" s="52">
        <v>40</v>
      </c>
      <c r="D26" s="56">
        <f t="shared" si="9"/>
        <v>502824</v>
      </c>
      <c r="E26" s="63">
        <f t="shared" si="2"/>
        <v>302.24181290108334</v>
      </c>
      <c r="F26" s="63">
        <f t="shared" si="3"/>
        <v>54.801665476597378</v>
      </c>
      <c r="G26" s="61">
        <f t="shared" si="0"/>
        <v>553.53375810993236</v>
      </c>
      <c r="H26" s="63">
        <f t="shared" si="4"/>
        <v>306.5021113003865</v>
      </c>
      <c r="I26" s="63">
        <f t="shared" si="5"/>
        <v>59.307831022192659</v>
      </c>
      <c r="J26" s="61">
        <f t="shared" si="1"/>
        <v>555.48019997743143</v>
      </c>
      <c r="K26" s="57"/>
      <c r="L26" s="57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Z26" s="64">
        <f t="shared" si="6"/>
        <v>7.4172824718234439E-3</v>
      </c>
      <c r="AA26" s="64">
        <f t="shared" si="7"/>
        <v>2.1213920102540956E-2</v>
      </c>
    </row>
    <row r="27" spans="1:27" ht="12.75" customHeight="1" x14ac:dyDescent="0.25">
      <c r="A27" s="33"/>
      <c r="B27" s="61">
        <f t="shared" si="8"/>
        <v>317.10000000000002</v>
      </c>
      <c r="C27" s="52">
        <v>30</v>
      </c>
      <c r="D27" s="56">
        <f t="shared" si="9"/>
        <v>377118</v>
      </c>
      <c r="E27" s="63">
        <f t="shared" si="2"/>
        <v>300.4345866215719</v>
      </c>
      <c r="F27" s="63">
        <f t="shared" si="3"/>
        <v>52.958027324755236</v>
      </c>
      <c r="G27" s="61">
        <f t="shared" si="0"/>
        <v>414.53830880474135</v>
      </c>
      <c r="H27" s="63">
        <f t="shared" si="4"/>
        <v>301.77217702140649</v>
      </c>
      <c r="I27" s="63">
        <f t="shared" si="5"/>
        <v>54.318731065461648</v>
      </c>
      <c r="J27" s="61">
        <f t="shared" si="1"/>
        <v>414.99086721341257</v>
      </c>
      <c r="K27" s="57"/>
      <c r="L27" s="57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Z27" s="64">
        <f t="shared" si="6"/>
        <v>1.44652660154364E-3</v>
      </c>
      <c r="AA27" s="64">
        <f t="shared" si="7"/>
        <v>5.8725659830488885E-3</v>
      </c>
    </row>
    <row r="28" spans="1:27" ht="12.75" customHeight="1" x14ac:dyDescent="0.25">
      <c r="A28" s="33"/>
      <c r="B28" s="61">
        <f t="shared" si="8"/>
        <v>211.4</v>
      </c>
      <c r="C28" s="52">
        <v>20</v>
      </c>
      <c r="D28" s="56">
        <f t="shared" si="9"/>
        <v>251412</v>
      </c>
      <c r="E28" s="63">
        <f t="shared" si="2"/>
        <v>300.01650573186072</v>
      </c>
      <c r="F28" s="63">
        <f t="shared" si="3"/>
        <v>52.537176006449641</v>
      </c>
      <c r="G28" s="61">
        <f t="shared" si="0"/>
        <v>276.26488925277715</v>
      </c>
      <c r="H28" s="63">
        <f t="shared" si="4"/>
        <v>300.13506990740041</v>
      </c>
      <c r="I28" s="63">
        <f t="shared" si="5"/>
        <v>52.656311387538508</v>
      </c>
      <c r="J28" s="61">
        <f t="shared" si="1"/>
        <v>276.29152675144712</v>
      </c>
      <c r="K28" s="57"/>
      <c r="L28" s="57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Z28" s="64">
        <f t="shared" si="6"/>
        <v>5.5016079266819301E-5</v>
      </c>
      <c r="AA28" s="64">
        <f t="shared" si="7"/>
        <v>4.5003040611699125E-4</v>
      </c>
    </row>
    <row r="29" spans="1:27" ht="12.75" customHeight="1" x14ac:dyDescent="0.25">
      <c r="A29" s="33"/>
      <c r="B29" s="61">
        <f t="shared" si="8"/>
        <v>105.7</v>
      </c>
      <c r="C29" s="52">
        <v>10</v>
      </c>
      <c r="D29" s="56">
        <f t="shared" si="9"/>
        <v>125706</v>
      </c>
      <c r="E29" s="63">
        <f t="shared" si="2"/>
        <v>300.0000009080307</v>
      </c>
      <c r="F29" s="63">
        <f t="shared" si="3"/>
        <v>52.520605113687168</v>
      </c>
      <c r="G29" s="61">
        <f t="shared" si="0"/>
        <v>138.13059106052674</v>
      </c>
      <c r="H29" s="63">
        <f t="shared" si="4"/>
        <v>300.00006075822222</v>
      </c>
      <c r="I29" s="63">
        <f t="shared" si="5"/>
        <v>52.520665197525361</v>
      </c>
      <c r="J29" s="61">
        <f t="shared" si="1"/>
        <v>138.1305977817596</v>
      </c>
      <c r="K29" s="57"/>
      <c r="L29" s="57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Z29" s="64">
        <f t="shared" si="6"/>
        <v>3.0267689778929442E-9</v>
      </c>
      <c r="AA29" s="64">
        <f t="shared" si="7"/>
        <v>2.0252736642982404E-7</v>
      </c>
    </row>
    <row r="30" spans="1:27" ht="12.75" customHeight="1" x14ac:dyDescent="0.25">
      <c r="A30" s="33"/>
      <c r="B30" s="61">
        <f t="shared" si="8"/>
        <v>0</v>
      </c>
      <c r="C30" s="52">
        <v>0</v>
      </c>
      <c r="D30" s="56">
        <f t="shared" si="9"/>
        <v>0</v>
      </c>
      <c r="E30" s="63">
        <f t="shared" si="2"/>
        <v>300</v>
      </c>
      <c r="F30" s="63">
        <f t="shared" si="3"/>
        <v>52.520604202112082</v>
      </c>
      <c r="G30" s="61">
        <f t="shared" si="0"/>
        <v>0</v>
      </c>
      <c r="H30" s="63">
        <f>($D$12-(AA30*$D$11))/(1-AA30)</f>
        <v>300</v>
      </c>
      <c r="I30" s="63">
        <f t="shared" si="5"/>
        <v>52.520604202112082</v>
      </c>
      <c r="J30" s="61">
        <f t="shared" si="1"/>
        <v>0</v>
      </c>
      <c r="K30" s="57"/>
      <c r="L30" s="57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</row>
    <row r="31" spans="1:27" ht="12.75" customHeight="1" x14ac:dyDescent="0.25">
      <c r="A31" s="33"/>
      <c r="B31" s="33"/>
      <c r="C31" s="33"/>
      <c r="D31" s="33"/>
      <c r="E31" s="34"/>
      <c r="F31" s="34"/>
      <c r="G31" s="34"/>
      <c r="H31" s="34"/>
      <c r="I31" s="34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</row>
    <row r="32" spans="1:27" ht="12.75" customHeight="1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6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</row>
    <row r="33" spans="1:24" ht="12.75" customHeight="1" x14ac:dyDescent="0.25">
      <c r="A33" s="33"/>
      <c r="B33" s="33"/>
      <c r="C33" s="59" t="s">
        <v>26</v>
      </c>
      <c r="D33" s="47" t="s">
        <v>27</v>
      </c>
      <c r="E33" s="51">
        <f>IF(C34="yes",11-E34,0)</f>
        <v>0</v>
      </c>
      <c r="F33" s="51">
        <v>0</v>
      </c>
      <c r="G33" s="51">
        <f>IF(C34="Yes",11-G34,0)</f>
        <v>0</v>
      </c>
      <c r="H33" s="51">
        <v>0</v>
      </c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</row>
    <row r="34" spans="1:24" ht="12.75" customHeight="1" x14ac:dyDescent="0.25">
      <c r="A34" s="33"/>
      <c r="B34" s="33"/>
      <c r="C34" s="62" t="s">
        <v>15</v>
      </c>
      <c r="D34" s="47" t="s">
        <v>27</v>
      </c>
      <c r="E34" s="51">
        <f>IF(C34="Yes",(($E$13-$E$30)/($E$20-$E$30)*10),0)</f>
        <v>0</v>
      </c>
      <c r="F34" s="51">
        <f>IF(C34="Yes",E13,0)</f>
        <v>0</v>
      </c>
      <c r="G34" s="51">
        <f>IF(C34="Yes",(($E$13-$H$30)/($H$20-$H$30)*10),0)</f>
        <v>0</v>
      </c>
      <c r="H34" s="51">
        <f>IF(C34="Yes",E13,0)</f>
        <v>0</v>
      </c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</row>
    <row r="35" spans="1:24" ht="12.75" customHeight="1" x14ac:dyDescent="0.25">
      <c r="A35" s="33"/>
      <c r="B35" s="33"/>
      <c r="C35" s="33"/>
      <c r="D35" s="47" t="s">
        <v>28</v>
      </c>
      <c r="E35" s="51">
        <f>IF(C34="Yes",11-E36,0)</f>
        <v>0</v>
      </c>
      <c r="F35" s="51">
        <v>0</v>
      </c>
      <c r="G35" s="51">
        <f>IF(C34="Yes",11-G36,0)</f>
        <v>0</v>
      </c>
      <c r="H35" s="51">
        <v>0</v>
      </c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</row>
    <row r="36" spans="1:24" ht="12.75" customHeight="1" x14ac:dyDescent="0.25">
      <c r="A36" s="33"/>
      <c r="B36" s="33"/>
      <c r="C36" s="33"/>
      <c r="D36" s="47" t="s">
        <v>28</v>
      </c>
      <c r="E36" s="51">
        <f>IF(C34="Yes",(($E$14-$E$30)/($E$20-$E$30)*10),0)</f>
        <v>0</v>
      </c>
      <c r="F36" s="51">
        <f>IF(C34="Yes",E14,0)</f>
        <v>0</v>
      </c>
      <c r="G36" s="51">
        <f>IF(C34="Yes",(($E$14-$H$30)/($H$20-$H$30)*10),0)</f>
        <v>0</v>
      </c>
      <c r="H36" s="51">
        <f>IF(C34="Yes",E14,0)</f>
        <v>0</v>
      </c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</row>
    <row r="37" spans="1:24" ht="12.75" customHeight="1" x14ac:dyDescent="0.25">
      <c r="A37" s="33"/>
      <c r="B37" s="33"/>
      <c r="C37" s="33"/>
      <c r="D37" s="33"/>
      <c r="E37" s="34"/>
      <c r="F37" s="34"/>
      <c r="G37" s="34"/>
      <c r="H37" s="34"/>
      <c r="I37" s="34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</row>
    <row r="38" spans="1:24" ht="12.75" customHeight="1" x14ac:dyDescent="0.25">
      <c r="A38" s="33"/>
      <c r="B38" s="33"/>
      <c r="C38" s="33"/>
      <c r="D38" s="33"/>
      <c r="E38" s="34"/>
      <c r="F38" s="34"/>
      <c r="G38" s="34"/>
      <c r="H38" s="34"/>
      <c r="I38" s="34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</row>
    <row r="39" spans="1:24" ht="12.75" customHeight="1" x14ac:dyDescent="0.25">
      <c r="A39" s="33"/>
      <c r="B39" s="33"/>
      <c r="C39" s="46" t="s">
        <v>20</v>
      </c>
      <c r="D39" s="48" t="s">
        <v>29</v>
      </c>
      <c r="E39" s="48" t="s">
        <v>30</v>
      </c>
      <c r="F39" s="48" t="s">
        <v>31</v>
      </c>
      <c r="G39" s="48" t="s">
        <v>32</v>
      </c>
      <c r="H39" s="34"/>
      <c r="I39" s="34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</row>
    <row r="40" spans="1:24" ht="12.75" customHeight="1" x14ac:dyDescent="0.25">
      <c r="A40" s="33"/>
      <c r="B40" s="33"/>
      <c r="C40" s="49">
        <v>100</v>
      </c>
      <c r="D40" s="50">
        <f>$D$12</f>
        <v>300</v>
      </c>
      <c r="E40" s="51">
        <f>$E$14</f>
        <v>211.96764099019282</v>
      </c>
      <c r="F40" s="51">
        <f>$E$13</f>
        <v>316.00042882372998</v>
      </c>
      <c r="G40" s="51">
        <f>F40-E40</f>
        <v>104.03278783353716</v>
      </c>
      <c r="H40" s="34"/>
      <c r="I40" s="34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</row>
    <row r="41" spans="1:24" ht="12.75" customHeight="1" x14ac:dyDescent="0.25">
      <c r="A41" s="33"/>
      <c r="B41" s="33"/>
      <c r="C41" s="49">
        <v>90</v>
      </c>
      <c r="D41" s="50">
        <f t="shared" ref="D41:D50" si="10">$D$12</f>
        <v>300</v>
      </c>
      <c r="E41" s="51">
        <f t="shared" ref="E41:E50" si="11">$E$14</f>
        <v>211.96764099019282</v>
      </c>
      <c r="F41" s="51">
        <f t="shared" ref="F41:F50" si="12">$E$13</f>
        <v>316.00042882372998</v>
      </c>
      <c r="G41" s="51">
        <f t="shared" ref="G41:G50" si="13">F41-E41</f>
        <v>104.03278783353716</v>
      </c>
      <c r="H41" s="34"/>
      <c r="I41" s="34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</row>
    <row r="42" spans="1:24" ht="12.75" customHeight="1" x14ac:dyDescent="0.25">
      <c r="A42" s="33"/>
      <c r="B42" s="33"/>
      <c r="C42" s="49">
        <v>80</v>
      </c>
      <c r="D42" s="50">
        <f t="shared" si="10"/>
        <v>300</v>
      </c>
      <c r="E42" s="51">
        <f t="shared" si="11"/>
        <v>211.96764099019282</v>
      </c>
      <c r="F42" s="51">
        <f t="shared" si="12"/>
        <v>316.00042882372998</v>
      </c>
      <c r="G42" s="51">
        <f t="shared" si="13"/>
        <v>104.03278783353716</v>
      </c>
      <c r="H42" s="34"/>
      <c r="I42" s="34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</row>
    <row r="43" spans="1:24" ht="12.75" customHeight="1" x14ac:dyDescent="0.25">
      <c r="A43" s="33"/>
      <c r="B43" s="33"/>
      <c r="C43" s="49">
        <v>70</v>
      </c>
      <c r="D43" s="50">
        <f t="shared" si="10"/>
        <v>300</v>
      </c>
      <c r="E43" s="51">
        <f t="shared" si="11"/>
        <v>211.96764099019282</v>
      </c>
      <c r="F43" s="51">
        <f t="shared" si="12"/>
        <v>316.00042882372998</v>
      </c>
      <c r="G43" s="51">
        <f t="shared" si="13"/>
        <v>104.03278783353716</v>
      </c>
      <c r="H43" s="34"/>
      <c r="I43" s="34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</row>
    <row r="44" spans="1:24" ht="12.75" customHeight="1" x14ac:dyDescent="0.25">
      <c r="A44" s="33"/>
      <c r="B44" s="33"/>
      <c r="C44" s="49">
        <v>60</v>
      </c>
      <c r="D44" s="50">
        <f t="shared" si="10"/>
        <v>300</v>
      </c>
      <c r="E44" s="51">
        <f t="shared" si="11"/>
        <v>211.96764099019282</v>
      </c>
      <c r="F44" s="51">
        <f t="shared" si="12"/>
        <v>316.00042882372998</v>
      </c>
      <c r="G44" s="51">
        <f t="shared" si="13"/>
        <v>104.03278783353716</v>
      </c>
      <c r="H44" s="34"/>
      <c r="I44" s="34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</row>
    <row r="45" spans="1:24" ht="12.75" customHeight="1" x14ac:dyDescent="0.25">
      <c r="A45" s="33"/>
      <c r="B45" s="33"/>
      <c r="C45" s="49">
        <v>50</v>
      </c>
      <c r="D45" s="50">
        <f t="shared" si="10"/>
        <v>300</v>
      </c>
      <c r="E45" s="51">
        <f t="shared" si="11"/>
        <v>211.96764099019282</v>
      </c>
      <c r="F45" s="51">
        <f t="shared" si="12"/>
        <v>316.00042882372998</v>
      </c>
      <c r="G45" s="51">
        <f t="shared" si="13"/>
        <v>104.03278783353716</v>
      </c>
      <c r="H45" s="34"/>
      <c r="I45" s="34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</row>
    <row r="46" spans="1:24" ht="12.75" customHeight="1" x14ac:dyDescent="0.25">
      <c r="A46" s="33"/>
      <c r="B46" s="33"/>
      <c r="C46" s="49">
        <v>40</v>
      </c>
      <c r="D46" s="50">
        <f t="shared" si="10"/>
        <v>300</v>
      </c>
      <c r="E46" s="51">
        <f t="shared" si="11"/>
        <v>211.96764099019282</v>
      </c>
      <c r="F46" s="51">
        <f t="shared" si="12"/>
        <v>316.00042882372998</v>
      </c>
      <c r="G46" s="51">
        <f t="shared" si="13"/>
        <v>104.03278783353716</v>
      </c>
      <c r="H46" s="34"/>
      <c r="I46" s="34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</row>
    <row r="47" spans="1:24" ht="12.75" customHeight="1" x14ac:dyDescent="0.25">
      <c r="A47" s="33"/>
      <c r="B47" s="33"/>
      <c r="C47" s="49">
        <v>30</v>
      </c>
      <c r="D47" s="50">
        <f t="shared" si="10"/>
        <v>300</v>
      </c>
      <c r="E47" s="51">
        <f t="shared" si="11"/>
        <v>211.96764099019282</v>
      </c>
      <c r="F47" s="51">
        <f t="shared" si="12"/>
        <v>316.00042882372998</v>
      </c>
      <c r="G47" s="51">
        <f t="shared" si="13"/>
        <v>104.03278783353716</v>
      </c>
      <c r="H47" s="34"/>
      <c r="I47" s="34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</row>
    <row r="48" spans="1:24" ht="12.75" customHeight="1" x14ac:dyDescent="0.25">
      <c r="A48" s="33"/>
      <c r="B48" s="33"/>
      <c r="C48" s="49">
        <v>20</v>
      </c>
      <c r="D48" s="50">
        <f t="shared" si="10"/>
        <v>300</v>
      </c>
      <c r="E48" s="51">
        <f t="shared" si="11"/>
        <v>211.96764099019282</v>
      </c>
      <c r="F48" s="51">
        <f t="shared" si="12"/>
        <v>316.00042882372998</v>
      </c>
      <c r="G48" s="51">
        <f t="shared" si="13"/>
        <v>104.03278783353716</v>
      </c>
      <c r="H48" s="34"/>
      <c r="I48" s="34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</row>
    <row r="49" spans="1:24" ht="12.75" customHeight="1" x14ac:dyDescent="0.25">
      <c r="A49" s="33"/>
      <c r="B49" s="33"/>
      <c r="C49" s="49">
        <v>10</v>
      </c>
      <c r="D49" s="50">
        <f t="shared" si="10"/>
        <v>300</v>
      </c>
      <c r="E49" s="51">
        <f t="shared" si="11"/>
        <v>211.96764099019282</v>
      </c>
      <c r="F49" s="51">
        <f t="shared" si="12"/>
        <v>316.00042882372998</v>
      </c>
      <c r="G49" s="51">
        <f t="shared" si="13"/>
        <v>104.03278783353716</v>
      </c>
      <c r="H49" s="34"/>
      <c r="I49" s="34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</row>
    <row r="50" spans="1:24" ht="12.75" customHeight="1" x14ac:dyDescent="0.25">
      <c r="A50" s="33"/>
      <c r="B50" s="33"/>
      <c r="C50" s="49">
        <v>0</v>
      </c>
      <c r="D50" s="50">
        <f t="shared" si="10"/>
        <v>300</v>
      </c>
      <c r="E50" s="51">
        <f t="shared" si="11"/>
        <v>211.96764099019282</v>
      </c>
      <c r="F50" s="51">
        <f t="shared" si="12"/>
        <v>316.00042882372998</v>
      </c>
      <c r="G50" s="51">
        <f t="shared" si="13"/>
        <v>104.03278783353716</v>
      </c>
      <c r="H50" s="34"/>
      <c r="I50" s="34"/>
      <c r="J50" s="34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</row>
    <row r="51" spans="1:24" ht="12.75" customHeight="1" x14ac:dyDescent="0.25">
      <c r="A51" s="33"/>
      <c r="B51" s="33"/>
      <c r="C51" s="33"/>
      <c r="D51" s="33"/>
      <c r="E51" s="33"/>
      <c r="F51" s="34"/>
      <c r="G51" s="34"/>
      <c r="H51" s="34"/>
      <c r="I51" s="34"/>
      <c r="J51" s="3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</row>
    <row r="52" spans="1:24" ht="12.75" customHeight="1" x14ac:dyDescent="0.25">
      <c r="A52" s="33"/>
      <c r="B52" s="33"/>
      <c r="C52" s="33"/>
      <c r="D52" s="33"/>
      <c r="E52" s="33"/>
      <c r="F52" s="34"/>
      <c r="G52" s="34"/>
      <c r="H52" s="34"/>
      <c r="I52" s="34"/>
      <c r="J52" s="34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</row>
  </sheetData>
  <mergeCells count="15">
    <mergeCell ref="H17:I17"/>
    <mergeCell ref="J2:N2"/>
    <mergeCell ref="J4:N4"/>
    <mergeCell ref="B13:C13"/>
    <mergeCell ref="B14:C14"/>
    <mergeCell ref="B15:C15"/>
    <mergeCell ref="D2:G2"/>
    <mergeCell ref="D4:G4"/>
    <mergeCell ref="B7:C7"/>
    <mergeCell ref="B8:C8"/>
    <mergeCell ref="B9:C9"/>
    <mergeCell ref="B10:C10"/>
    <mergeCell ref="B11:C11"/>
    <mergeCell ref="B12:C12"/>
    <mergeCell ref="E17:F17"/>
  </mergeCells>
  <phoneticPr fontId="13" type="noConversion"/>
  <dataValidations count="1">
    <dataValidation type="list" allowBlank="1" showInputMessage="1" showErrorMessage="1" sqref="C34" xr:uid="{00000000-0002-0000-0000-000000000000}">
      <formula1>Stall</formula1>
    </dataValidation>
  </dataValidations>
  <pageMargins left="0.25" right="0.25" top="0.75" bottom="0.75" header="0.3" footer="0.3"/>
  <pageSetup scale="73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J29"/>
  <sheetViews>
    <sheetView workbookViewId="0">
      <selection activeCell="K18" sqref="K18"/>
    </sheetView>
  </sheetViews>
  <sheetFormatPr defaultRowHeight="12.5" x14ac:dyDescent="0.25"/>
  <cols>
    <col min="1" max="1" width="2.54296875" customWidth="1"/>
    <col min="2" max="2" width="21" customWidth="1"/>
    <col min="5" max="5" width="4.7265625" customWidth="1"/>
    <col min="6" max="6" width="20.7265625" customWidth="1"/>
  </cols>
  <sheetData>
    <row r="1" spans="2:10" ht="18" x14ac:dyDescent="0.4">
      <c r="B1" s="6" t="s">
        <v>33</v>
      </c>
    </row>
    <row r="2" spans="2:10" s="2" customFormat="1" x14ac:dyDescent="0.25">
      <c r="B2" s="8" t="s">
        <v>34</v>
      </c>
      <c r="D2" s="8" t="s">
        <v>35</v>
      </c>
    </row>
    <row r="3" spans="2:10" s="2" customFormat="1" ht="13" x14ac:dyDescent="0.3">
      <c r="B3" s="8" t="s">
        <v>36</v>
      </c>
      <c r="D3" s="8" t="s">
        <v>37</v>
      </c>
      <c r="H3" s="1"/>
      <c r="I3" s="1"/>
    </row>
    <row r="4" spans="2:10" ht="13" x14ac:dyDescent="0.3">
      <c r="B4" s="21" t="s">
        <v>38</v>
      </c>
      <c r="D4" s="8" t="s">
        <v>39</v>
      </c>
      <c r="H4" s="1"/>
      <c r="I4" s="1"/>
      <c r="J4" s="2"/>
    </row>
    <row r="5" spans="2:10" ht="13" x14ac:dyDescent="0.3">
      <c r="B5" s="22"/>
      <c r="H5" s="1"/>
      <c r="I5" s="1"/>
      <c r="J5" s="2"/>
    </row>
    <row r="6" spans="2:10" ht="13" x14ac:dyDescent="0.3">
      <c r="B6" s="1" t="s">
        <v>40</v>
      </c>
      <c r="F6" s="1" t="s">
        <v>41</v>
      </c>
    </row>
    <row r="7" spans="2:10" ht="13" x14ac:dyDescent="0.3">
      <c r="B7" s="28" t="s">
        <v>42</v>
      </c>
      <c r="C7" s="29">
        <v>300</v>
      </c>
      <c r="D7" s="30" t="s">
        <v>43</v>
      </c>
      <c r="F7" s="28" t="s">
        <v>44</v>
      </c>
      <c r="G7" s="32" t="e">
        <f>'STALL CHART'!#REF!</f>
        <v>#REF!</v>
      </c>
      <c r="H7" s="30" t="s">
        <v>45</v>
      </c>
    </row>
    <row r="8" spans="2:10" x14ac:dyDescent="0.25">
      <c r="B8" s="3" t="s">
        <v>46</v>
      </c>
      <c r="C8" s="23">
        <f>psat_t(C7)</f>
        <v>67.020604202112082</v>
      </c>
      <c r="D8" s="5" t="s">
        <v>45</v>
      </c>
      <c r="F8" s="3" t="s">
        <v>47</v>
      </c>
      <c r="G8" s="24" t="e">
        <f>Tsat_p(G7)</f>
        <v>#VALUE!</v>
      </c>
      <c r="H8" s="5" t="s">
        <v>43</v>
      </c>
    </row>
    <row r="9" spans="2:10" ht="13" x14ac:dyDescent="0.3">
      <c r="B9" s="4" t="s">
        <v>48</v>
      </c>
      <c r="D9" s="5"/>
      <c r="F9" s="4" t="s">
        <v>48</v>
      </c>
      <c r="H9" s="5"/>
    </row>
    <row r="10" spans="2:10" x14ac:dyDescent="0.25">
      <c r="B10" s="3" t="s">
        <v>49</v>
      </c>
      <c r="C10" s="25">
        <f>hL_T(C7)</f>
        <v>269.75721944193918</v>
      </c>
      <c r="D10" s="5" t="s">
        <v>50</v>
      </c>
      <c r="F10" s="3" t="s">
        <v>49</v>
      </c>
      <c r="G10" s="25" t="e">
        <f>hL_p(G7)</f>
        <v>#VALUE!</v>
      </c>
      <c r="H10" s="5" t="s">
        <v>50</v>
      </c>
    </row>
    <row r="11" spans="2:10" x14ac:dyDescent="0.25">
      <c r="B11" s="3" t="s">
        <v>51</v>
      </c>
      <c r="C11" s="24">
        <f>rhoL_T(C7)</f>
        <v>57.31146887091078</v>
      </c>
      <c r="D11" s="5" t="s">
        <v>52</v>
      </c>
      <c r="F11" s="3" t="s">
        <v>51</v>
      </c>
      <c r="G11" s="24" t="e">
        <f>rhoL_P(G7)</f>
        <v>#VALUE!</v>
      </c>
      <c r="H11" s="5" t="s">
        <v>52</v>
      </c>
    </row>
    <row r="12" spans="2:10" x14ac:dyDescent="0.25">
      <c r="B12" s="3" t="s">
        <v>53</v>
      </c>
      <c r="C12" s="24">
        <f>sL_T(C7)</f>
        <v>0.43753360826179383</v>
      </c>
      <c r="D12" s="5" t="s">
        <v>54</v>
      </c>
      <c r="F12" s="3" t="s">
        <v>53</v>
      </c>
      <c r="G12" s="24" t="e">
        <f>sL_p(G7)</f>
        <v>#VALUE!</v>
      </c>
      <c r="H12" s="5" t="s">
        <v>54</v>
      </c>
    </row>
    <row r="13" spans="2:10" ht="13" x14ac:dyDescent="0.3">
      <c r="B13" s="4" t="s">
        <v>55</v>
      </c>
      <c r="D13" s="5"/>
      <c r="F13" s="4" t="s">
        <v>55</v>
      </c>
      <c r="H13" s="5"/>
    </row>
    <row r="14" spans="2:10" x14ac:dyDescent="0.25">
      <c r="B14" s="3" t="s">
        <v>56</v>
      </c>
      <c r="C14" s="25">
        <f>hV_T(C7)</f>
        <v>1179.9566146383077</v>
      </c>
      <c r="D14" s="5" t="s">
        <v>50</v>
      </c>
      <c r="F14" s="3" t="s">
        <v>56</v>
      </c>
      <c r="G14" s="25" t="e">
        <f>hV_p(G7)</f>
        <v>#VALUE!</v>
      </c>
      <c r="H14" s="5" t="s">
        <v>50</v>
      </c>
    </row>
    <row r="15" spans="2:10" x14ac:dyDescent="0.25">
      <c r="B15" s="3" t="s">
        <v>57</v>
      </c>
      <c r="C15" s="24">
        <f>rhoV_T(C7)</f>
        <v>0.15464013192430712</v>
      </c>
      <c r="D15" s="5" t="s">
        <v>52</v>
      </c>
      <c r="F15" s="3" t="s">
        <v>57</v>
      </c>
      <c r="G15" s="24" t="e">
        <f>rhoV_p(G7)</f>
        <v>#VALUE!</v>
      </c>
      <c r="H15" s="5" t="s">
        <v>52</v>
      </c>
    </row>
    <row r="16" spans="2:10" x14ac:dyDescent="0.25">
      <c r="B16" s="3" t="s">
        <v>58</v>
      </c>
      <c r="C16" s="24">
        <f>sV_T(C7)</f>
        <v>1.6364881972095859</v>
      </c>
      <c r="D16" s="5" t="s">
        <v>54</v>
      </c>
      <c r="F16" s="3" t="s">
        <v>59</v>
      </c>
      <c r="G16" s="24" t="e">
        <f>sV_p(G7)</f>
        <v>#VALUE!</v>
      </c>
      <c r="H16" s="5" t="s">
        <v>54</v>
      </c>
    </row>
    <row r="17" spans="2:8" x14ac:dyDescent="0.25">
      <c r="B17" s="17" t="s">
        <v>60</v>
      </c>
      <c r="C17" s="26">
        <f>C14-C10</f>
        <v>910.19939519636841</v>
      </c>
      <c r="D17" s="19" t="s">
        <v>50</v>
      </c>
      <c r="F17" s="17" t="s">
        <v>60</v>
      </c>
      <c r="G17" s="26" t="e">
        <f>G14-G10</f>
        <v>#VALUE!</v>
      </c>
      <c r="H17" s="19" t="s">
        <v>50</v>
      </c>
    </row>
    <row r="19" spans="2:8" ht="13" x14ac:dyDescent="0.3">
      <c r="B19" s="1" t="s">
        <v>61</v>
      </c>
      <c r="F19" s="1" t="s">
        <v>62</v>
      </c>
    </row>
    <row r="20" spans="2:8" ht="13" x14ac:dyDescent="0.3">
      <c r="B20" s="28" t="s">
        <v>44</v>
      </c>
      <c r="C20" s="29">
        <v>100</v>
      </c>
      <c r="D20" s="30" t="s">
        <v>45</v>
      </c>
      <c r="F20" s="28" t="s">
        <v>44</v>
      </c>
      <c r="G20" s="29">
        <v>125</v>
      </c>
      <c r="H20" s="30" t="s">
        <v>45</v>
      </c>
    </row>
    <row r="21" spans="2:8" ht="13" x14ac:dyDescent="0.3">
      <c r="B21" s="15" t="s">
        <v>42</v>
      </c>
      <c r="C21" s="31">
        <v>50</v>
      </c>
      <c r="D21" s="16" t="s">
        <v>43</v>
      </c>
      <c r="F21" s="15" t="s">
        <v>49</v>
      </c>
      <c r="G21" s="31">
        <v>2788</v>
      </c>
      <c r="H21" s="16" t="s">
        <v>50</v>
      </c>
    </row>
    <row r="22" spans="2:8" x14ac:dyDescent="0.25">
      <c r="B22" s="3" t="s">
        <v>49</v>
      </c>
      <c r="C22" s="25">
        <f>h_pt(C20,C21)</f>
        <v>18.354327600849064</v>
      </c>
      <c r="D22" s="5" t="s">
        <v>50</v>
      </c>
      <c r="F22" s="3" t="s">
        <v>42</v>
      </c>
      <c r="G22" s="25">
        <f>T_ph(G20,G21)</f>
        <v>3074.8889763355255</v>
      </c>
      <c r="H22" s="5" t="s">
        <v>43</v>
      </c>
    </row>
    <row r="23" spans="2:8" x14ac:dyDescent="0.25">
      <c r="B23" s="3" t="s">
        <v>51</v>
      </c>
      <c r="C23" s="24">
        <f>rho_pT(C20,C21)</f>
        <v>62.426859281115377</v>
      </c>
      <c r="D23" s="5" t="s">
        <v>52</v>
      </c>
      <c r="F23" s="3" t="s">
        <v>51</v>
      </c>
      <c r="G23" s="24">
        <f>rho_ph(G20,G21)</f>
        <v>5.9348308196672424E-2</v>
      </c>
      <c r="H23" s="5" t="s">
        <v>52</v>
      </c>
    </row>
    <row r="24" spans="2:8" x14ac:dyDescent="0.25">
      <c r="B24" s="3" t="s">
        <v>53</v>
      </c>
      <c r="C24" s="24">
        <f>s_pT(C20,C21)</f>
        <v>3.6095643116978687E-2</v>
      </c>
      <c r="D24" s="5" t="s">
        <v>54</v>
      </c>
      <c r="F24" s="3" t="s">
        <v>53</v>
      </c>
      <c r="G24" s="24">
        <f>s_ph(G20,G21)</f>
        <v>2.4226603785499301</v>
      </c>
      <c r="H24" s="5" t="s">
        <v>54</v>
      </c>
    </row>
    <row r="25" spans="2:8" x14ac:dyDescent="0.25">
      <c r="B25" s="3" t="s">
        <v>63</v>
      </c>
      <c r="C25">
        <f>x_ph(C20,C22)*100</f>
        <v>0</v>
      </c>
      <c r="D25" s="5" t="s">
        <v>64</v>
      </c>
      <c r="F25" s="3" t="s">
        <v>63</v>
      </c>
      <c r="G25">
        <f>x_ph(G20,G21)*100</f>
        <v>100</v>
      </c>
      <c r="H25" s="5" t="s">
        <v>64</v>
      </c>
    </row>
    <row r="26" spans="2:8" x14ac:dyDescent="0.25">
      <c r="B26" s="3" t="s">
        <v>65</v>
      </c>
      <c r="C26">
        <f>region_pt(C20/10,C21+273.15)</f>
        <v>1</v>
      </c>
      <c r="D26" s="5"/>
      <c r="F26" s="3" t="s">
        <v>65</v>
      </c>
      <c r="G26">
        <f>region_ph(G20/10,G21)</f>
        <v>2</v>
      </c>
      <c r="H26" s="5"/>
    </row>
    <row r="27" spans="2:8" ht="13" x14ac:dyDescent="0.3">
      <c r="B27" s="3" t="s">
        <v>66</v>
      </c>
      <c r="C27" s="27" t="str">
        <f>IF(C26=2,"Steam",IF(C26=1,"Liquid",IF(C26=4,"Mixture","")))</f>
        <v>Liquid</v>
      </c>
      <c r="D27" s="5"/>
      <c r="F27" s="3" t="s">
        <v>66</v>
      </c>
      <c r="G27" s="27" t="str">
        <f>IF(G26=2,"Steam",IF(G26=1,"Liquid",IF(G26=4,"Mixture","")))</f>
        <v>Steam</v>
      </c>
      <c r="H27" s="5"/>
    </row>
    <row r="28" spans="2:8" x14ac:dyDescent="0.25">
      <c r="B28" s="3" t="s">
        <v>67</v>
      </c>
      <c r="C28">
        <f>Cp_pT(C20,C21)</f>
        <v>1.0015344662084917</v>
      </c>
      <c r="D28" s="5" t="s">
        <v>54</v>
      </c>
      <c r="F28" s="3" t="s">
        <v>67</v>
      </c>
      <c r="G28">
        <f>Cp_ph(G20,G21)</f>
        <v>0.67556892875856978</v>
      </c>
      <c r="H28" s="5" t="s">
        <v>54</v>
      </c>
    </row>
    <row r="29" spans="2:8" x14ac:dyDescent="0.25">
      <c r="B29" s="17" t="s">
        <v>68</v>
      </c>
      <c r="C29" s="18">
        <f>w_pT(C20,C21)</f>
        <v>4752.2401977897171</v>
      </c>
      <c r="D29" s="19" t="s">
        <v>69</v>
      </c>
      <c r="F29" s="17" t="s">
        <v>68</v>
      </c>
      <c r="G29" s="18">
        <f>w_ph(G20,G21)</f>
        <v>3415.9904021142174</v>
      </c>
      <c r="H29" s="19" t="s">
        <v>69</v>
      </c>
    </row>
  </sheetData>
  <phoneticPr fontId="0" type="noConversion"/>
  <hyperlinks>
    <hyperlink ref="B4" r:id="rId1" xr:uid="{00000000-0004-0000-0100-000000000000}"/>
  </hyperlinks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outlinePr summaryBelow="0"/>
  </sheetPr>
  <dimension ref="A1:K141"/>
  <sheetViews>
    <sheetView workbookViewId="0">
      <selection activeCell="F18" sqref="F18"/>
    </sheetView>
  </sheetViews>
  <sheetFormatPr defaultRowHeight="13" outlineLevelRow="1" x14ac:dyDescent="0.3"/>
  <cols>
    <col min="1" max="1" width="11.7265625" customWidth="1"/>
    <col min="2" max="2" width="4.7265625" customWidth="1"/>
    <col min="3" max="3" width="7.7265625" customWidth="1"/>
    <col min="4" max="4" width="4.7265625" customWidth="1"/>
    <col min="5" max="5" width="8.26953125" customWidth="1"/>
    <col min="6" max="6" width="10.453125" style="1" bestFit="1" customWidth="1"/>
    <col min="7" max="7" width="10.26953125" style="1" customWidth="1"/>
    <col min="8" max="8" width="7.54296875" style="2" customWidth="1"/>
  </cols>
  <sheetData>
    <row r="1" spans="1:8" s="13" customFormat="1" ht="18" x14ac:dyDescent="0.4">
      <c r="A1" s="6" t="s">
        <v>70</v>
      </c>
      <c r="D1" s="2" t="s">
        <v>71</v>
      </c>
      <c r="E1" s="14" t="s">
        <v>72</v>
      </c>
      <c r="F1" s="6"/>
      <c r="G1" s="6"/>
    </row>
    <row r="2" spans="1:8" s="10" customFormat="1" ht="10.5" x14ac:dyDescent="0.25">
      <c r="A2" s="10" t="s">
        <v>73</v>
      </c>
    </row>
    <row r="3" spans="1:8" s="8" customFormat="1" ht="10" x14ac:dyDescent="0.2">
      <c r="A3" s="8" t="s">
        <v>74</v>
      </c>
    </row>
    <row r="4" spans="1:8" s="8" customFormat="1" ht="10" x14ac:dyDescent="0.2">
      <c r="A4" s="8" t="s">
        <v>75</v>
      </c>
      <c r="F4" s="21" t="s">
        <v>76</v>
      </c>
    </row>
    <row r="5" spans="1:8" s="8" customFormat="1" ht="10" x14ac:dyDescent="0.2">
      <c r="A5" s="8" t="s">
        <v>37</v>
      </c>
    </row>
    <row r="6" spans="1:8" ht="12.5" x14ac:dyDescent="0.25">
      <c r="A6" s="10" t="s">
        <v>39</v>
      </c>
      <c r="B6" s="2"/>
      <c r="C6" s="2"/>
      <c r="D6" s="2"/>
      <c r="E6" s="2"/>
      <c r="F6" s="2"/>
      <c r="G6" s="2"/>
    </row>
    <row r="7" spans="1:8" ht="12.5" x14ac:dyDescent="0.25">
      <c r="A7" s="10"/>
      <c r="B7" s="2"/>
      <c r="C7" s="2"/>
      <c r="D7" s="2"/>
      <c r="E7" s="2"/>
      <c r="F7" s="2"/>
      <c r="G7" s="2"/>
    </row>
    <row r="8" spans="1:8" s="12" customFormat="1" ht="15.5" x14ac:dyDescent="0.35">
      <c r="A8" s="20" t="s">
        <v>42</v>
      </c>
      <c r="F8" s="11"/>
      <c r="G8" s="11"/>
    </row>
    <row r="9" spans="1:8" s="8" customFormat="1" outlineLevel="1" x14ac:dyDescent="0.3">
      <c r="A9" s="1" t="s">
        <v>77</v>
      </c>
      <c r="B9" s="2">
        <v>14.503773799999999</v>
      </c>
      <c r="C9" s="2" t="s">
        <v>78</v>
      </c>
      <c r="D9" s="2"/>
      <c r="E9" s="2"/>
      <c r="F9" s="1">
        <f>Tsat_p(B9)</f>
        <v>211.2906535708841</v>
      </c>
      <c r="G9" s="1" t="s">
        <v>79</v>
      </c>
      <c r="H9" s="2" t="s">
        <v>47</v>
      </c>
    </row>
    <row r="10" spans="1:8" s="8" customFormat="1" outlineLevel="1" x14ac:dyDescent="0.3">
      <c r="A10" s="1" t="s">
        <v>80</v>
      </c>
      <c r="B10" s="2">
        <v>1</v>
      </c>
      <c r="C10" s="2" t="s">
        <v>78</v>
      </c>
      <c r="D10" s="2">
        <v>100</v>
      </c>
      <c r="E10" s="2" t="s">
        <v>50</v>
      </c>
      <c r="F10" s="1">
        <f>T_ph(B10,D10)</f>
        <v>101.69433722352896</v>
      </c>
      <c r="G10" s="1" t="s">
        <v>79</v>
      </c>
      <c r="H10" s="2" t="s">
        <v>81</v>
      </c>
    </row>
    <row r="11" spans="1:8" s="8" customFormat="1" outlineLevel="1" x14ac:dyDescent="0.3">
      <c r="A11" s="1" t="s">
        <v>82</v>
      </c>
      <c r="B11" s="2">
        <v>1</v>
      </c>
      <c r="C11" s="2" t="s">
        <v>78</v>
      </c>
      <c r="D11" s="2">
        <v>1</v>
      </c>
      <c r="E11" s="2" t="s">
        <v>54</v>
      </c>
      <c r="F11" s="1">
        <f>T_ps(B11,D11)</f>
        <v>101.69433722352896</v>
      </c>
      <c r="G11" s="1" t="s">
        <v>79</v>
      </c>
      <c r="H11" s="2" t="s">
        <v>83</v>
      </c>
    </row>
    <row r="12" spans="1:8" s="8" customFormat="1" outlineLevel="1" x14ac:dyDescent="0.3">
      <c r="A12" s="1" t="s">
        <v>84</v>
      </c>
      <c r="B12" s="2">
        <v>100</v>
      </c>
      <c r="C12" s="2" t="s">
        <v>50</v>
      </c>
      <c r="D12" s="2">
        <v>0.2</v>
      </c>
      <c r="E12" s="2" t="s">
        <v>54</v>
      </c>
      <c r="F12" s="1">
        <f>T_hs(B12,D12)</f>
        <v>41.081829795694333</v>
      </c>
      <c r="G12" s="1" t="s">
        <v>79</v>
      </c>
      <c r="H12" s="2" t="s">
        <v>85</v>
      </c>
    </row>
    <row r="13" spans="1:8" s="12" customFormat="1" ht="15.5" x14ac:dyDescent="0.35">
      <c r="A13" s="20" t="s">
        <v>44</v>
      </c>
      <c r="F13" s="11"/>
      <c r="G13" s="11"/>
    </row>
    <row r="14" spans="1:8" s="8" customFormat="1" outlineLevel="1" x14ac:dyDescent="0.3">
      <c r="A14" s="1" t="s">
        <v>86</v>
      </c>
      <c r="B14" s="2">
        <v>100</v>
      </c>
      <c r="C14" s="2" t="s">
        <v>79</v>
      </c>
      <c r="D14" s="2"/>
      <c r="E14" s="2"/>
      <c r="F14" s="1">
        <f>psat_t(B14)</f>
        <v>0.95043933077881249</v>
      </c>
      <c r="G14" s="1" t="s">
        <v>45</v>
      </c>
      <c r="H14" s="2" t="s">
        <v>46</v>
      </c>
    </row>
    <row r="15" spans="1:8" s="8" customFormat="1" outlineLevel="1" x14ac:dyDescent="0.3">
      <c r="A15" s="1" t="s">
        <v>87</v>
      </c>
      <c r="B15" s="2">
        <v>84</v>
      </c>
      <c r="C15" s="2" t="s">
        <v>50</v>
      </c>
      <c r="D15" s="2">
        <v>0.29599999999999999</v>
      </c>
      <c r="E15" s="2" t="s">
        <v>54</v>
      </c>
      <c r="F15" s="1" t="e">
        <f>p_hs(B15,D15)</f>
        <v>#VALUE!</v>
      </c>
      <c r="G15" s="1" t="s">
        <v>45</v>
      </c>
      <c r="H15" s="2" t="s">
        <v>88</v>
      </c>
    </row>
    <row r="16" spans="1:8" s="8" customFormat="1" outlineLevel="1" x14ac:dyDescent="0.3">
      <c r="A16" s="1" t="s">
        <v>89</v>
      </c>
      <c r="B16" s="2">
        <v>2000</v>
      </c>
      <c r="C16" s="2" t="s">
        <v>50</v>
      </c>
      <c r="D16" s="2">
        <v>5</v>
      </c>
      <c r="E16" s="2" t="s">
        <v>90</v>
      </c>
      <c r="F16" s="1" t="e">
        <f>p_hrho(B16,D16)</f>
        <v>#VALUE!</v>
      </c>
      <c r="G16" s="1" t="s">
        <v>45</v>
      </c>
      <c r="H16" s="2" t="s">
        <v>91</v>
      </c>
    </row>
    <row r="17" spans="1:8" s="12" customFormat="1" ht="15.5" x14ac:dyDescent="0.35">
      <c r="A17" s="20" t="s">
        <v>49</v>
      </c>
      <c r="F17" s="11"/>
      <c r="G17" s="11"/>
    </row>
    <row r="18" spans="1:8" s="8" customFormat="1" outlineLevel="1" x14ac:dyDescent="0.3">
      <c r="A18" s="1" t="s">
        <v>92</v>
      </c>
      <c r="B18" s="2">
        <v>1</v>
      </c>
      <c r="C18" s="2" t="s">
        <v>78</v>
      </c>
      <c r="D18" s="2"/>
      <c r="E18" s="2"/>
      <c r="F18" s="1">
        <f>hV_p(B18)</f>
        <v>1105.4393386640004</v>
      </c>
      <c r="G18" s="1" t="s">
        <v>50</v>
      </c>
      <c r="H18" s="2" t="s">
        <v>93</v>
      </c>
    </row>
    <row r="19" spans="1:8" s="8" customFormat="1" outlineLevel="1" x14ac:dyDescent="0.3">
      <c r="A19" s="1" t="s">
        <v>94</v>
      </c>
      <c r="B19" s="2">
        <v>1</v>
      </c>
      <c r="C19" s="2" t="s">
        <v>78</v>
      </c>
      <c r="D19" s="2"/>
      <c r="E19" s="2"/>
      <c r="F19" s="1">
        <f>hL_p(B19)</f>
        <v>69.728239049354812</v>
      </c>
      <c r="G19" s="1" t="s">
        <v>50</v>
      </c>
      <c r="H19" s="2" t="s">
        <v>95</v>
      </c>
    </row>
    <row r="20" spans="1:8" s="8" customFormat="1" outlineLevel="1" x14ac:dyDescent="0.3">
      <c r="A20" s="1" t="s">
        <v>96</v>
      </c>
      <c r="B20" s="2">
        <v>100</v>
      </c>
      <c r="C20" s="2" t="s">
        <v>79</v>
      </c>
      <c r="D20" s="2"/>
      <c r="E20" s="2"/>
      <c r="F20" s="1">
        <f>hV_T(B20)</f>
        <v>1104.7148547166025</v>
      </c>
      <c r="G20" s="1" t="s">
        <v>50</v>
      </c>
      <c r="H20" s="2" t="s">
        <v>93</v>
      </c>
    </row>
    <row r="21" spans="1:8" s="8" customFormat="1" outlineLevel="1" x14ac:dyDescent="0.3">
      <c r="A21" s="1" t="s">
        <v>97</v>
      </c>
      <c r="B21" s="2">
        <v>100</v>
      </c>
      <c r="C21" s="2" t="s">
        <v>79</v>
      </c>
      <c r="D21" s="2"/>
      <c r="E21" s="2"/>
      <c r="F21" s="1">
        <f>hL_T(B21)</f>
        <v>68.036985639994001</v>
      </c>
      <c r="G21" s="1" t="s">
        <v>50</v>
      </c>
      <c r="H21" s="2" t="s">
        <v>95</v>
      </c>
    </row>
    <row r="22" spans="1:8" s="8" customFormat="1" outlineLevel="1" x14ac:dyDescent="0.3">
      <c r="A22" s="1" t="s">
        <v>98</v>
      </c>
      <c r="B22" s="2">
        <v>14.503773799999999</v>
      </c>
      <c r="C22" s="2" t="s">
        <v>78</v>
      </c>
      <c r="D22" s="2">
        <v>68</v>
      </c>
      <c r="E22" s="2" t="s">
        <v>79</v>
      </c>
      <c r="F22" s="1">
        <f>h_pt(B22,D22)</f>
        <v>36.11857745798283</v>
      </c>
      <c r="G22" s="1" t="s">
        <v>50</v>
      </c>
      <c r="H22" s="2" t="s">
        <v>99</v>
      </c>
    </row>
    <row r="23" spans="1:8" s="8" customFormat="1" outlineLevel="1" x14ac:dyDescent="0.3">
      <c r="A23" s="1" t="s">
        <v>100</v>
      </c>
      <c r="B23" s="2">
        <v>1</v>
      </c>
      <c r="C23" s="2" t="s">
        <v>78</v>
      </c>
      <c r="D23" s="2">
        <v>1</v>
      </c>
      <c r="E23" s="2" t="s">
        <v>54</v>
      </c>
      <c r="F23" s="1">
        <f>h_ps(B23,D23)</f>
        <v>1293.8627890864839</v>
      </c>
      <c r="G23" s="1" t="s">
        <v>50</v>
      </c>
      <c r="H23" s="2" t="s">
        <v>101</v>
      </c>
    </row>
    <row r="24" spans="1:8" s="8" customFormat="1" outlineLevel="1" x14ac:dyDescent="0.3">
      <c r="A24" s="1" t="s">
        <v>102</v>
      </c>
      <c r="B24" s="2">
        <v>1</v>
      </c>
      <c r="C24" s="2" t="s">
        <v>78</v>
      </c>
      <c r="D24" s="2">
        <v>0.5</v>
      </c>
      <c r="E24" s="2"/>
      <c r="F24" s="1">
        <f>h_px(B24,D24)</f>
        <v>587.58378885667753</v>
      </c>
      <c r="G24" s="1" t="s">
        <v>50</v>
      </c>
      <c r="H24" s="2" t="s">
        <v>103</v>
      </c>
    </row>
    <row r="25" spans="1:8" s="8" customFormat="1" outlineLevel="1" x14ac:dyDescent="0.3">
      <c r="A25" s="1" t="s">
        <v>104</v>
      </c>
      <c r="B25" s="2">
        <v>100</v>
      </c>
      <c r="C25" s="2" t="s">
        <v>79</v>
      </c>
      <c r="D25" s="2">
        <v>0.5</v>
      </c>
      <c r="E25" s="2"/>
      <c r="F25" s="1">
        <f>h_tx(B25,D25)</f>
        <v>586.37592017829832</v>
      </c>
      <c r="G25" s="1" t="s">
        <v>50</v>
      </c>
      <c r="H25" s="2" t="s">
        <v>105</v>
      </c>
    </row>
    <row r="26" spans="1:8" s="8" customFormat="1" outlineLevel="1" x14ac:dyDescent="0.3">
      <c r="A26" s="1" t="s">
        <v>106</v>
      </c>
      <c r="B26" s="2">
        <v>1</v>
      </c>
      <c r="C26" s="2" t="s">
        <v>78</v>
      </c>
      <c r="D26" s="2">
        <v>2</v>
      </c>
      <c r="E26" s="2" t="s">
        <v>90</v>
      </c>
      <c r="F26" s="1">
        <f>h_prho(B26,D26)</f>
        <v>71.230953968579257</v>
      </c>
      <c r="G26" s="1" t="s">
        <v>50</v>
      </c>
      <c r="H26" s="2" t="s">
        <v>107</v>
      </c>
    </row>
    <row r="27" spans="1:8" s="12" customFormat="1" ht="15.5" x14ac:dyDescent="0.35">
      <c r="A27" s="20" t="s">
        <v>108</v>
      </c>
      <c r="F27" s="11"/>
      <c r="G27" s="11"/>
    </row>
    <row r="28" spans="1:8" s="8" customFormat="1" outlineLevel="1" x14ac:dyDescent="0.3">
      <c r="A28" s="1" t="s">
        <v>109</v>
      </c>
      <c r="B28" s="2">
        <v>1</v>
      </c>
      <c r="C28" s="2" t="s">
        <v>78</v>
      </c>
      <c r="D28" s="2"/>
      <c r="E28" s="2"/>
      <c r="F28" s="1">
        <f>vV_p(B28)</f>
        <v>333.50751891901803</v>
      </c>
      <c r="G28" s="1" t="s">
        <v>110</v>
      </c>
      <c r="H28" s="2" t="s">
        <v>111</v>
      </c>
    </row>
    <row r="29" spans="1:8" s="8" customFormat="1" outlineLevel="1" x14ac:dyDescent="0.3">
      <c r="A29" s="1" t="s">
        <v>112</v>
      </c>
      <c r="B29" s="2">
        <v>1</v>
      </c>
      <c r="C29" s="2" t="s">
        <v>78</v>
      </c>
      <c r="D29" s="2"/>
      <c r="E29" s="2"/>
      <c r="F29" s="1">
        <f>vL_p(B29)</f>
        <v>1.613681120860341E-2</v>
      </c>
      <c r="G29" s="1" t="s">
        <v>110</v>
      </c>
      <c r="H29" s="2" t="s">
        <v>113</v>
      </c>
    </row>
    <row r="30" spans="1:8" s="8" customFormat="1" outlineLevel="1" x14ac:dyDescent="0.3">
      <c r="A30" s="1" t="s">
        <v>114</v>
      </c>
      <c r="B30" s="2">
        <v>100</v>
      </c>
      <c r="C30" s="2" t="s">
        <v>79</v>
      </c>
      <c r="D30" s="2"/>
      <c r="E30" s="2"/>
      <c r="F30" s="1">
        <f>vV_T(B30)</f>
        <v>349.8695998974697</v>
      </c>
      <c r="G30" s="1" t="s">
        <v>110</v>
      </c>
      <c r="H30" s="2" t="s">
        <v>111</v>
      </c>
    </row>
    <row r="31" spans="1:8" s="8" customFormat="1" outlineLevel="1" x14ac:dyDescent="0.3">
      <c r="A31" s="1" t="s">
        <v>115</v>
      </c>
      <c r="B31" s="2">
        <v>100</v>
      </c>
      <c r="C31" s="2" t="s">
        <v>79</v>
      </c>
      <c r="D31" s="2"/>
      <c r="E31" s="2"/>
      <c r="F31" s="1">
        <f>vL_T(B31)</f>
        <v>1.6131174327003114E-2</v>
      </c>
      <c r="G31" s="1" t="s">
        <v>110</v>
      </c>
      <c r="H31" s="2" t="s">
        <v>113</v>
      </c>
    </row>
    <row r="32" spans="1:8" s="8" customFormat="1" outlineLevel="1" x14ac:dyDescent="0.3">
      <c r="A32" s="1" t="s">
        <v>116</v>
      </c>
      <c r="B32" s="2">
        <v>1</v>
      </c>
      <c r="C32" s="2" t="s">
        <v>78</v>
      </c>
      <c r="D32" s="2">
        <v>100</v>
      </c>
      <c r="E32" s="2" t="s">
        <v>79</v>
      </c>
      <c r="F32" s="1">
        <f>v_pT(B32,D32)</f>
        <v>1.6131171891217523E-2</v>
      </c>
      <c r="G32" s="1" t="s">
        <v>110</v>
      </c>
      <c r="H32" s="2" t="s">
        <v>117</v>
      </c>
    </row>
    <row r="33" spans="1:8" s="8" customFormat="1" outlineLevel="1" x14ac:dyDescent="0.3">
      <c r="A33" s="1" t="s">
        <v>118</v>
      </c>
      <c r="B33" s="2">
        <v>1</v>
      </c>
      <c r="C33" s="2" t="s">
        <v>78</v>
      </c>
      <c r="D33" s="2">
        <v>1000</v>
      </c>
      <c r="E33" s="2" t="s">
        <v>50</v>
      </c>
      <c r="F33" s="1">
        <f>v_ph(B33,D33)</f>
        <v>299.55682476050805</v>
      </c>
      <c r="G33" s="1" t="s">
        <v>110</v>
      </c>
      <c r="H33" s="2" t="s">
        <v>119</v>
      </c>
    </row>
    <row r="34" spans="1:8" s="8" customFormat="1" outlineLevel="1" x14ac:dyDescent="0.3">
      <c r="A34" s="1" t="s">
        <v>120</v>
      </c>
      <c r="B34" s="2">
        <v>1</v>
      </c>
      <c r="C34" s="2" t="s">
        <v>78</v>
      </c>
      <c r="D34" s="2">
        <v>5</v>
      </c>
      <c r="E34" s="2" t="s">
        <v>54</v>
      </c>
      <c r="F34" s="1" t="e">
        <f>v_ps(B34,D34)</f>
        <v>#VALUE!</v>
      </c>
      <c r="G34" s="1" t="s">
        <v>110</v>
      </c>
      <c r="H34" s="2" t="s">
        <v>121</v>
      </c>
    </row>
    <row r="35" spans="1:8" s="12" customFormat="1" ht="15.5" x14ac:dyDescent="0.35">
      <c r="A35" s="20" t="s">
        <v>51</v>
      </c>
      <c r="F35" s="11"/>
      <c r="G35" s="11"/>
    </row>
    <row r="36" spans="1:8" s="8" customFormat="1" outlineLevel="1" x14ac:dyDescent="0.3">
      <c r="A36" s="1" t="s">
        <v>122</v>
      </c>
      <c r="B36" s="2">
        <v>1</v>
      </c>
      <c r="C36" s="2" t="s">
        <v>78</v>
      </c>
      <c r="D36" s="2"/>
      <c r="E36" s="2"/>
      <c r="F36" s="1">
        <f>rhoV_p(B36)</f>
        <v>2.9984331484976777E-3</v>
      </c>
      <c r="G36" s="1" t="s">
        <v>90</v>
      </c>
      <c r="H36" s="2" t="s">
        <v>123</v>
      </c>
    </row>
    <row r="37" spans="1:8" s="8" customFormat="1" outlineLevel="1" x14ac:dyDescent="0.3">
      <c r="A37" s="1" t="s">
        <v>124</v>
      </c>
      <c r="B37" s="2">
        <v>1</v>
      </c>
      <c r="C37" s="2" t="s">
        <v>78</v>
      </c>
      <c r="D37" s="2"/>
      <c r="E37" s="2"/>
      <c r="F37" s="1">
        <f>rhoL_P(B37)</f>
        <v>61.970112128897298</v>
      </c>
      <c r="G37" s="1" t="s">
        <v>90</v>
      </c>
      <c r="H37" s="2" t="s">
        <v>125</v>
      </c>
    </row>
    <row r="38" spans="1:8" s="8" customFormat="1" outlineLevel="1" x14ac:dyDescent="0.3">
      <c r="A38" s="1" t="s">
        <v>126</v>
      </c>
      <c r="B38" s="2">
        <v>100</v>
      </c>
      <c r="C38" s="2" t="s">
        <v>79</v>
      </c>
      <c r="D38" s="2"/>
      <c r="E38" s="2"/>
      <c r="F38" s="1">
        <f>rhoV_T(B38)</f>
        <v>2.858207744522682E-3</v>
      </c>
      <c r="G38" s="1" t="s">
        <v>90</v>
      </c>
      <c r="H38" s="2" t="s">
        <v>123</v>
      </c>
    </row>
    <row r="39" spans="1:8" s="8" customFormat="1" outlineLevel="1" x14ac:dyDescent="0.3">
      <c r="A39" s="1" t="s">
        <v>127</v>
      </c>
      <c r="B39" s="2">
        <v>100</v>
      </c>
      <c r="C39" s="2" t="s">
        <v>79</v>
      </c>
      <c r="D39" s="2"/>
      <c r="E39" s="2"/>
      <c r="F39" s="1">
        <f>rhoL_T(B39)</f>
        <v>61.991766980413153</v>
      </c>
      <c r="G39" s="1" t="s">
        <v>90</v>
      </c>
      <c r="H39" s="2" t="s">
        <v>125</v>
      </c>
    </row>
    <row r="40" spans="1:8" s="8" customFormat="1" outlineLevel="1" x14ac:dyDescent="0.3">
      <c r="A40" s="1" t="s">
        <v>128</v>
      </c>
      <c r="B40" s="2">
        <v>1</v>
      </c>
      <c r="C40" s="2" t="s">
        <v>78</v>
      </c>
      <c r="D40" s="2">
        <v>100</v>
      </c>
      <c r="E40" s="2" t="s">
        <v>79</v>
      </c>
      <c r="F40" s="1">
        <f>rho_pT(B40,D40)</f>
        <v>61.991776341087863</v>
      </c>
      <c r="G40" s="1" t="s">
        <v>90</v>
      </c>
      <c r="H40" s="2" t="s">
        <v>129</v>
      </c>
    </row>
    <row r="41" spans="1:8" s="8" customFormat="1" outlineLevel="1" x14ac:dyDescent="0.3">
      <c r="A41" s="1" t="s">
        <v>130</v>
      </c>
      <c r="B41" s="2">
        <v>1</v>
      </c>
      <c r="C41" s="2" t="s">
        <v>78</v>
      </c>
      <c r="D41" s="2">
        <v>1000</v>
      </c>
      <c r="E41" s="2" t="s">
        <v>50</v>
      </c>
      <c r="F41" s="1">
        <f>rho_ph(B41,D41)</f>
        <v>3.3382647876558564E-3</v>
      </c>
      <c r="G41" s="1" t="s">
        <v>90</v>
      </c>
      <c r="H41" s="2" t="s">
        <v>131</v>
      </c>
    </row>
    <row r="42" spans="1:8" s="8" customFormat="1" outlineLevel="1" x14ac:dyDescent="0.3">
      <c r="A42" s="1" t="s">
        <v>132</v>
      </c>
      <c r="B42" s="2">
        <v>1</v>
      </c>
      <c r="C42" s="2" t="s">
        <v>78</v>
      </c>
      <c r="D42" s="2">
        <v>1</v>
      </c>
      <c r="E42" s="2" t="s">
        <v>54</v>
      </c>
      <c r="F42" s="1">
        <f>rho_ps(B42,D42)</f>
        <v>6.3825952915770676E-3</v>
      </c>
      <c r="G42" s="1" t="s">
        <v>90</v>
      </c>
      <c r="H42" s="2" t="s">
        <v>133</v>
      </c>
    </row>
    <row r="43" spans="1:8" s="12" customFormat="1" ht="15.5" x14ac:dyDescent="0.35">
      <c r="A43" s="20" t="s">
        <v>134</v>
      </c>
      <c r="F43" s="11"/>
      <c r="G43" s="11"/>
    </row>
    <row r="44" spans="1:8" s="8" customFormat="1" outlineLevel="1" x14ac:dyDescent="0.3">
      <c r="A44" s="1" t="s">
        <v>135</v>
      </c>
      <c r="B44" s="2">
        <v>6.117E-3</v>
      </c>
      <c r="C44" s="2" t="s">
        <v>78</v>
      </c>
      <c r="D44" s="2"/>
      <c r="E44" s="2"/>
      <c r="F44" s="1" t="e">
        <f>sV_p(B44)</f>
        <v>#VALUE!</v>
      </c>
      <c r="G44" s="1" t="s">
        <v>54</v>
      </c>
      <c r="H44" s="2" t="s">
        <v>136</v>
      </c>
    </row>
    <row r="45" spans="1:8" s="8" customFormat="1" outlineLevel="1" x14ac:dyDescent="0.3">
      <c r="A45" s="1" t="s">
        <v>137</v>
      </c>
      <c r="B45" s="2">
        <v>6.1171000000000003E-3</v>
      </c>
      <c r="C45" s="2" t="s">
        <v>78</v>
      </c>
      <c r="D45" s="2"/>
      <c r="E45" s="2"/>
      <c r="F45" s="1" t="e">
        <f>sL_p(B45)</f>
        <v>#VALUE!</v>
      </c>
      <c r="G45" s="1" t="s">
        <v>54</v>
      </c>
      <c r="H45" s="2" t="s">
        <v>138</v>
      </c>
    </row>
    <row r="46" spans="1:8" s="8" customFormat="1" outlineLevel="1" x14ac:dyDescent="0.3">
      <c r="A46" s="1" t="s">
        <v>139</v>
      </c>
      <c r="B46" s="2">
        <v>1E-4</v>
      </c>
      <c r="C46" s="2" t="s">
        <v>79</v>
      </c>
      <c r="D46" s="2"/>
      <c r="E46" s="2"/>
      <c r="F46" s="1" t="e">
        <f>sV_T(B46)</f>
        <v>#VALUE!</v>
      </c>
      <c r="G46" s="1" t="s">
        <v>54</v>
      </c>
      <c r="H46" s="2" t="s">
        <v>136</v>
      </c>
    </row>
    <row r="47" spans="1:8" s="8" customFormat="1" outlineLevel="1" x14ac:dyDescent="0.3">
      <c r="A47" s="1" t="s">
        <v>140</v>
      </c>
      <c r="B47" s="2">
        <v>100</v>
      </c>
      <c r="C47" s="2" t="s">
        <v>79</v>
      </c>
      <c r="D47" s="2"/>
      <c r="E47" s="2"/>
      <c r="F47" s="1">
        <f>sL_T(B47)</f>
        <v>0.12970133456854457</v>
      </c>
      <c r="G47" s="1" t="s">
        <v>54</v>
      </c>
      <c r="H47" s="2" t="s">
        <v>138</v>
      </c>
    </row>
    <row r="48" spans="1:8" s="8" customFormat="1" outlineLevel="1" x14ac:dyDescent="0.3">
      <c r="A48" s="1" t="s">
        <v>141</v>
      </c>
      <c r="B48" s="2">
        <v>1</v>
      </c>
      <c r="C48" s="2" t="s">
        <v>78</v>
      </c>
      <c r="D48" s="2">
        <v>20</v>
      </c>
      <c r="E48" s="2" t="s">
        <v>79</v>
      </c>
      <c r="F48" s="1" t="e">
        <f>s_pT(B48,D48)</f>
        <v>#VALUE!</v>
      </c>
      <c r="G48" s="1" t="s">
        <v>54</v>
      </c>
      <c r="H48" s="2" t="s">
        <v>142</v>
      </c>
    </row>
    <row r="49" spans="1:8" s="8" customFormat="1" outlineLevel="1" x14ac:dyDescent="0.3">
      <c r="A49" s="1" t="s">
        <v>143</v>
      </c>
      <c r="B49" s="2">
        <v>1</v>
      </c>
      <c r="C49" s="2" t="s">
        <v>78</v>
      </c>
      <c r="D49" s="2">
        <f>F22</f>
        <v>36.11857745798283</v>
      </c>
      <c r="E49" s="2" t="s">
        <v>50</v>
      </c>
      <c r="F49" s="1">
        <f>s_ph(B49,D49)</f>
        <v>7.1016847440303718E-2</v>
      </c>
      <c r="G49" s="1" t="s">
        <v>54</v>
      </c>
      <c r="H49" s="2" t="s">
        <v>144</v>
      </c>
    </row>
    <row r="50" spans="1:8" s="12" customFormat="1" ht="15.5" x14ac:dyDescent="0.35">
      <c r="A50" s="20" t="s">
        <v>145</v>
      </c>
      <c r="F50" s="11"/>
      <c r="G50" s="11"/>
    </row>
    <row r="51" spans="1:8" s="8" customFormat="1" outlineLevel="1" x14ac:dyDescent="0.3">
      <c r="A51" s="1" t="s">
        <v>146</v>
      </c>
      <c r="B51" s="2">
        <v>1</v>
      </c>
      <c r="C51" s="2" t="s">
        <v>78</v>
      </c>
      <c r="D51" s="2"/>
      <c r="E51" s="2"/>
      <c r="F51" s="1">
        <f>uV_p(B51)</f>
        <v>1043.7238674299194</v>
      </c>
      <c r="G51" s="1" t="s">
        <v>50</v>
      </c>
      <c r="H51" s="2" t="s">
        <v>147</v>
      </c>
    </row>
    <row r="52" spans="1:8" s="8" customFormat="1" outlineLevel="1" x14ac:dyDescent="0.3">
      <c r="A52" s="1" t="s">
        <v>148</v>
      </c>
      <c r="B52" s="2">
        <v>1</v>
      </c>
      <c r="C52" s="2" t="s">
        <v>78</v>
      </c>
      <c r="D52" s="2"/>
      <c r="E52" s="2"/>
      <c r="F52" s="1">
        <f>uL_p(B52)</f>
        <v>69.725252937044104</v>
      </c>
      <c r="G52" s="1" t="s">
        <v>50</v>
      </c>
      <c r="H52" s="2" t="s">
        <v>149</v>
      </c>
    </row>
    <row r="53" spans="1:8" s="8" customFormat="1" outlineLevel="1" x14ac:dyDescent="0.3">
      <c r="A53" s="1" t="s">
        <v>150</v>
      </c>
      <c r="B53" s="2">
        <v>100</v>
      </c>
      <c r="C53" s="2" t="s">
        <v>79</v>
      </c>
      <c r="D53" s="2"/>
      <c r="E53" s="2"/>
      <c r="F53" s="1">
        <f>uV_T(B53)</f>
        <v>1043.1803048366698</v>
      </c>
      <c r="G53" s="1" t="s">
        <v>50</v>
      </c>
      <c r="H53" s="2" t="s">
        <v>147</v>
      </c>
    </row>
    <row r="54" spans="1:8" s="8" customFormat="1" outlineLevel="1" x14ac:dyDescent="0.3">
      <c r="A54" s="1" t="s">
        <v>151</v>
      </c>
      <c r="B54" s="2">
        <v>100</v>
      </c>
      <c r="C54" s="2" t="s">
        <v>79</v>
      </c>
      <c r="D54" s="2"/>
      <c r="E54" s="2"/>
      <c r="F54" s="1">
        <f>uL_T(B54)</f>
        <v>68.034148512814212</v>
      </c>
      <c r="G54" s="1" t="s">
        <v>50</v>
      </c>
      <c r="H54" s="2" t="s">
        <v>149</v>
      </c>
    </row>
    <row r="55" spans="1:8" s="8" customFormat="1" outlineLevel="1" x14ac:dyDescent="0.3">
      <c r="A55" s="1" t="s">
        <v>152</v>
      </c>
      <c r="B55" s="2">
        <v>1</v>
      </c>
      <c r="C55" s="2" t="s">
        <v>78</v>
      </c>
      <c r="D55" s="2">
        <v>100</v>
      </c>
      <c r="E55" s="2" t="s">
        <v>79</v>
      </c>
      <c r="F55" s="1">
        <f>u_pT(B55,D55)</f>
        <v>68.034131602610202</v>
      </c>
      <c r="G55" s="1" t="s">
        <v>50</v>
      </c>
      <c r="H55" s="2" t="s">
        <v>153</v>
      </c>
    </row>
    <row r="56" spans="1:8" s="8" customFormat="1" outlineLevel="1" x14ac:dyDescent="0.3">
      <c r="A56" s="1" t="s">
        <v>154</v>
      </c>
      <c r="B56" s="2">
        <v>1</v>
      </c>
      <c r="C56" s="2" t="s">
        <v>78</v>
      </c>
      <c r="D56" s="2">
        <v>1000</v>
      </c>
      <c r="E56" s="2" t="s">
        <v>50</v>
      </c>
      <c r="F56" s="1">
        <f>u_ph(B56,D56)</f>
        <v>944.56709503461354</v>
      </c>
      <c r="G56" s="1" t="s">
        <v>50</v>
      </c>
      <c r="H56" s="2" t="s">
        <v>155</v>
      </c>
    </row>
    <row r="57" spans="1:8" s="8" customFormat="1" outlineLevel="1" x14ac:dyDescent="0.3">
      <c r="A57" s="1" t="s">
        <v>156</v>
      </c>
      <c r="B57" s="2">
        <v>1</v>
      </c>
      <c r="C57" s="2" t="s">
        <v>78</v>
      </c>
      <c r="D57" s="2">
        <v>1</v>
      </c>
      <c r="E57" s="2" t="s">
        <v>54</v>
      </c>
      <c r="F57" s="1">
        <f>u_ps(B57,D57)</f>
        <v>527.26800874691742</v>
      </c>
      <c r="G57" s="1" t="s">
        <v>50</v>
      </c>
      <c r="H57" s="2" t="s">
        <v>157</v>
      </c>
    </row>
    <row r="58" spans="1:8" s="12" customFormat="1" ht="15.5" x14ac:dyDescent="0.35">
      <c r="A58" s="20" t="s">
        <v>158</v>
      </c>
      <c r="F58" s="11"/>
      <c r="G58" s="11"/>
    </row>
    <row r="59" spans="1:8" s="8" customFormat="1" outlineLevel="1" x14ac:dyDescent="0.3">
      <c r="A59" s="1" t="s">
        <v>159</v>
      </c>
      <c r="B59" s="2">
        <v>1</v>
      </c>
      <c r="C59" s="2" t="s">
        <v>78</v>
      </c>
      <c r="D59" s="2"/>
      <c r="E59" s="2"/>
      <c r="F59" s="1">
        <f>CpV_p(B59)</f>
        <v>0.46104681717387153</v>
      </c>
      <c r="G59" s="1" t="s">
        <v>54</v>
      </c>
      <c r="H59" s="2" t="s">
        <v>160</v>
      </c>
    </row>
    <row r="60" spans="1:8" s="8" customFormat="1" outlineLevel="1" x14ac:dyDescent="0.3">
      <c r="A60" s="1" t="s">
        <v>161</v>
      </c>
      <c r="B60" s="2">
        <v>1</v>
      </c>
      <c r="C60" s="2" t="s">
        <v>78</v>
      </c>
      <c r="D60" s="2"/>
      <c r="E60" s="2"/>
      <c r="F60" s="1">
        <f>CpL_p(B60)</f>
        <v>0.99809656391810886</v>
      </c>
      <c r="G60" s="1" t="s">
        <v>54</v>
      </c>
      <c r="H60" s="2" t="s">
        <v>162</v>
      </c>
    </row>
    <row r="61" spans="1:8" s="8" customFormat="1" outlineLevel="1" x14ac:dyDescent="0.3">
      <c r="A61" s="1" t="s">
        <v>163</v>
      </c>
      <c r="B61" s="2">
        <v>100</v>
      </c>
      <c r="C61" s="2" t="s">
        <v>79</v>
      </c>
      <c r="D61" s="2"/>
      <c r="E61" s="2"/>
      <c r="F61" s="1">
        <f>CpV_T(B61)</f>
        <v>0.46071433461793659</v>
      </c>
      <c r="G61" s="1" t="s">
        <v>54</v>
      </c>
      <c r="H61" s="2" t="s">
        <v>160</v>
      </c>
    </row>
    <row r="62" spans="1:8" s="8" customFormat="1" outlineLevel="1" x14ac:dyDescent="0.3">
      <c r="A62" s="1" t="s">
        <v>164</v>
      </c>
      <c r="B62" s="2">
        <v>100</v>
      </c>
      <c r="C62" s="2" t="s">
        <v>79</v>
      </c>
      <c r="D62" s="2"/>
      <c r="E62" s="2"/>
      <c r="F62" s="1">
        <f>CpL_T(B62)</f>
        <v>0.99811058023231558</v>
      </c>
      <c r="G62" s="1" t="s">
        <v>54</v>
      </c>
      <c r="H62" s="2" t="s">
        <v>162</v>
      </c>
    </row>
    <row r="63" spans="1:8" s="8" customFormat="1" outlineLevel="1" x14ac:dyDescent="0.3">
      <c r="A63" s="1" t="s">
        <v>165</v>
      </c>
      <c r="B63" s="2">
        <v>1</v>
      </c>
      <c r="C63" s="2" t="s">
        <v>78</v>
      </c>
      <c r="D63" s="2">
        <v>100</v>
      </c>
      <c r="E63" s="2" t="s">
        <v>79</v>
      </c>
      <c r="F63" s="1">
        <f>Cp_pT(B63,D63)</f>
        <v>0.99811037510056977</v>
      </c>
      <c r="G63" s="1" t="s">
        <v>54</v>
      </c>
      <c r="H63" s="2" t="s">
        <v>166</v>
      </c>
    </row>
    <row r="64" spans="1:8" s="8" customFormat="1" outlineLevel="1" x14ac:dyDescent="0.3">
      <c r="A64" s="1" t="s">
        <v>167</v>
      </c>
      <c r="B64" s="2">
        <v>1</v>
      </c>
      <c r="C64" s="2" t="s">
        <v>78</v>
      </c>
      <c r="D64" s="2">
        <v>200</v>
      </c>
      <c r="E64" s="2" t="s">
        <v>50</v>
      </c>
      <c r="F64" s="1" t="e">
        <f>Cp_ph(B64,D64)</f>
        <v>#VALUE!</v>
      </c>
      <c r="G64" s="1" t="s">
        <v>54</v>
      </c>
      <c r="H64" s="2" t="s">
        <v>168</v>
      </c>
    </row>
    <row r="65" spans="1:8" s="8" customFormat="1" outlineLevel="1" x14ac:dyDescent="0.3">
      <c r="A65" s="1" t="s">
        <v>169</v>
      </c>
      <c r="B65" s="2">
        <v>1</v>
      </c>
      <c r="C65" s="2" t="s">
        <v>78</v>
      </c>
      <c r="D65" s="2">
        <v>1</v>
      </c>
      <c r="E65" s="2" t="s">
        <v>54</v>
      </c>
      <c r="F65" s="1" t="e">
        <f>Cp_ps(B65,D65)</f>
        <v>#VALUE!</v>
      </c>
      <c r="G65" s="1" t="s">
        <v>54</v>
      </c>
      <c r="H65" s="2" t="s">
        <v>170</v>
      </c>
    </row>
    <row r="66" spans="1:8" s="12" customFormat="1" ht="15.5" x14ac:dyDescent="0.35">
      <c r="A66" s="20" t="s">
        <v>171</v>
      </c>
      <c r="F66" s="11"/>
      <c r="G66" s="11"/>
    </row>
    <row r="67" spans="1:8" s="8" customFormat="1" outlineLevel="1" x14ac:dyDescent="0.3">
      <c r="A67" s="1" t="s">
        <v>172</v>
      </c>
      <c r="B67" s="2">
        <v>1</v>
      </c>
      <c r="C67" s="2" t="s">
        <v>78</v>
      </c>
      <c r="D67" s="2"/>
      <c r="E67" s="2"/>
      <c r="F67" s="1">
        <f>CvV_p(B67)</f>
        <v>0.34738166218716621</v>
      </c>
      <c r="G67" s="1" t="s">
        <v>54</v>
      </c>
      <c r="H67" s="2" t="s">
        <v>173</v>
      </c>
    </row>
    <row r="68" spans="1:8" s="8" customFormat="1" outlineLevel="1" x14ac:dyDescent="0.3">
      <c r="A68" s="1" t="s">
        <v>174</v>
      </c>
      <c r="B68" s="2">
        <v>1</v>
      </c>
      <c r="C68" s="2" t="s">
        <v>78</v>
      </c>
      <c r="D68" s="2"/>
      <c r="E68" s="2"/>
      <c r="F68" s="1">
        <f>CvL_p(B68)</f>
        <v>0.97419529235628621</v>
      </c>
      <c r="G68" s="1" t="s">
        <v>54</v>
      </c>
      <c r="H68" s="2" t="s">
        <v>175</v>
      </c>
    </row>
    <row r="69" spans="1:8" s="8" customFormat="1" outlineLevel="1" x14ac:dyDescent="0.3">
      <c r="A69" s="1" t="s">
        <v>176</v>
      </c>
      <c r="B69" s="2">
        <v>100</v>
      </c>
      <c r="C69" s="2" t="s">
        <v>79</v>
      </c>
      <c r="D69" s="2"/>
      <c r="E69" s="2"/>
      <c r="F69" s="1">
        <f>CvV_T(B69)</f>
        <v>0.34713512592030654</v>
      </c>
      <c r="G69" s="1" t="s">
        <v>54</v>
      </c>
      <c r="H69" s="2" t="s">
        <v>173</v>
      </c>
    </row>
    <row r="70" spans="1:8" s="8" customFormat="1" outlineLevel="1" x14ac:dyDescent="0.3">
      <c r="A70" s="1" t="s">
        <v>177</v>
      </c>
      <c r="B70" s="2">
        <v>100</v>
      </c>
      <c r="C70" s="2" t="s">
        <v>79</v>
      </c>
      <c r="D70" s="2"/>
      <c r="E70" s="2"/>
      <c r="F70" s="1">
        <f>CvL_T(B70)</f>
        <v>0.97523756193311872</v>
      </c>
      <c r="G70" s="1" t="s">
        <v>54</v>
      </c>
      <c r="H70" s="2" t="s">
        <v>175</v>
      </c>
    </row>
    <row r="71" spans="1:8" s="8" customFormat="1" outlineLevel="1" x14ac:dyDescent="0.3">
      <c r="A71" s="1" t="s">
        <v>178</v>
      </c>
      <c r="B71" s="2">
        <v>1</v>
      </c>
      <c r="C71" s="2" t="s">
        <v>78</v>
      </c>
      <c r="D71" s="2">
        <v>100</v>
      </c>
      <c r="E71" s="2" t="s">
        <v>79</v>
      </c>
      <c r="F71" s="1">
        <f>Cv_pT(B71,D71)</f>
        <v>0.97523732363978788</v>
      </c>
      <c r="G71" s="1" t="s">
        <v>54</v>
      </c>
      <c r="H71" s="2" t="s">
        <v>179</v>
      </c>
    </row>
    <row r="72" spans="1:8" s="8" customFormat="1" outlineLevel="1" x14ac:dyDescent="0.3">
      <c r="A72" s="1" t="s">
        <v>180</v>
      </c>
      <c r="B72" s="2">
        <v>1</v>
      </c>
      <c r="C72" s="2" t="s">
        <v>78</v>
      </c>
      <c r="D72" s="2">
        <v>200</v>
      </c>
      <c r="E72" s="2" t="s">
        <v>50</v>
      </c>
      <c r="F72" s="1" t="e">
        <f>Cv_ph(B72,D72)</f>
        <v>#VALUE!</v>
      </c>
      <c r="G72" s="1" t="s">
        <v>54</v>
      </c>
      <c r="H72" s="2" t="s">
        <v>181</v>
      </c>
    </row>
    <row r="73" spans="1:8" s="8" customFormat="1" outlineLevel="1" x14ac:dyDescent="0.3">
      <c r="A73" s="1" t="s">
        <v>182</v>
      </c>
      <c r="B73" s="2">
        <v>1</v>
      </c>
      <c r="C73" s="2" t="s">
        <v>78</v>
      </c>
      <c r="D73" s="2">
        <v>1</v>
      </c>
      <c r="E73" s="2" t="s">
        <v>54</v>
      </c>
      <c r="F73" s="1" t="e">
        <f>Cv_ps(B73,D73)</f>
        <v>#VALUE!</v>
      </c>
      <c r="G73" s="1" t="s">
        <v>54</v>
      </c>
      <c r="H73" s="2" t="s">
        <v>183</v>
      </c>
    </row>
    <row r="74" spans="1:8" s="12" customFormat="1" ht="15.5" x14ac:dyDescent="0.35">
      <c r="A74" s="20" t="s">
        <v>184</v>
      </c>
      <c r="F74" s="11"/>
      <c r="G74" s="11"/>
    </row>
    <row r="75" spans="1:8" s="8" customFormat="1" outlineLevel="1" x14ac:dyDescent="0.3">
      <c r="A75" s="1" t="s">
        <v>185</v>
      </c>
      <c r="B75" s="2">
        <v>1</v>
      </c>
      <c r="C75" s="2" t="s">
        <v>78</v>
      </c>
      <c r="D75" s="2"/>
      <c r="E75" s="2"/>
      <c r="F75" s="1">
        <f>wV_p(B75)</f>
        <v>1430.0233443387121</v>
      </c>
      <c r="G75" s="1" t="s">
        <v>69</v>
      </c>
      <c r="H75" s="2" t="s">
        <v>186</v>
      </c>
    </row>
    <row r="76" spans="1:8" s="8" customFormat="1" outlineLevel="1" x14ac:dyDescent="0.3">
      <c r="A76" s="1" t="s">
        <v>187</v>
      </c>
      <c r="B76" s="2">
        <v>1</v>
      </c>
      <c r="C76" s="2" t="s">
        <v>78</v>
      </c>
      <c r="D76" s="2"/>
      <c r="E76" s="2"/>
      <c r="F76" s="1">
        <f>wL_p(B76)</f>
        <v>5016.1265905500759</v>
      </c>
      <c r="G76" s="1" t="s">
        <v>69</v>
      </c>
      <c r="H76" s="2" t="s">
        <v>188</v>
      </c>
    </row>
    <row r="77" spans="1:8" s="8" customFormat="1" outlineLevel="1" x14ac:dyDescent="0.3">
      <c r="A77" s="1" t="s">
        <v>189</v>
      </c>
      <c r="B77" s="2">
        <v>100</v>
      </c>
      <c r="C77" s="2" t="s">
        <v>79</v>
      </c>
      <c r="D77" s="2"/>
      <c r="E77" s="2"/>
      <c r="F77" s="1">
        <f>wV_T(B77)</f>
        <v>1427.980732399066</v>
      </c>
      <c r="G77" s="1" t="s">
        <v>69</v>
      </c>
      <c r="H77" s="2" t="s">
        <v>186</v>
      </c>
    </row>
    <row r="78" spans="1:8" s="8" customFormat="1" outlineLevel="1" x14ac:dyDescent="0.3">
      <c r="A78" s="1" t="s">
        <v>190</v>
      </c>
      <c r="B78" s="2">
        <v>100</v>
      </c>
      <c r="C78" s="2" t="s">
        <v>79</v>
      </c>
      <c r="D78" s="2"/>
      <c r="E78" s="2"/>
      <c r="F78" s="1">
        <f>wL_T(B78)</f>
        <v>5010.5240656699543</v>
      </c>
      <c r="G78" s="1" t="s">
        <v>69</v>
      </c>
      <c r="H78" s="2" t="s">
        <v>188</v>
      </c>
    </row>
    <row r="79" spans="1:8" s="8" customFormat="1" outlineLevel="1" x14ac:dyDescent="0.3">
      <c r="A79" s="1" t="s">
        <v>191</v>
      </c>
      <c r="B79" s="2">
        <v>1</v>
      </c>
      <c r="C79" s="2" t="s">
        <v>78</v>
      </c>
      <c r="D79" s="2">
        <v>100</v>
      </c>
      <c r="E79" s="2" t="s">
        <v>79</v>
      </c>
      <c r="F79" s="1">
        <f>w_pT(B79,D79)</f>
        <v>5010.5258732811444</v>
      </c>
      <c r="G79" s="1" t="s">
        <v>69</v>
      </c>
      <c r="H79" s="2" t="s">
        <v>192</v>
      </c>
    </row>
    <row r="80" spans="1:8" s="8" customFormat="1" outlineLevel="1" x14ac:dyDescent="0.3">
      <c r="A80" s="1" t="s">
        <v>193</v>
      </c>
      <c r="B80" s="2">
        <v>1</v>
      </c>
      <c r="C80" s="2" t="s">
        <v>78</v>
      </c>
      <c r="D80" s="2">
        <v>200</v>
      </c>
      <c r="E80" s="2" t="s">
        <v>50</v>
      </c>
      <c r="F80" s="1" t="e">
        <f>w_ph(B80,D80)</f>
        <v>#VALUE!</v>
      </c>
      <c r="G80" s="1" t="s">
        <v>69</v>
      </c>
      <c r="H80" s="2" t="s">
        <v>194</v>
      </c>
    </row>
    <row r="81" spans="1:8" s="8" customFormat="1" outlineLevel="1" x14ac:dyDescent="0.3">
      <c r="A81" s="1" t="s">
        <v>195</v>
      </c>
      <c r="B81" s="2">
        <v>1</v>
      </c>
      <c r="C81" s="2" t="s">
        <v>78</v>
      </c>
      <c r="D81" s="2">
        <v>1</v>
      </c>
      <c r="E81" s="2" t="s">
        <v>54</v>
      </c>
      <c r="F81" s="1" t="e">
        <f>w_ps(B81,D81)</f>
        <v>#VALUE!</v>
      </c>
      <c r="G81" s="1" t="s">
        <v>69</v>
      </c>
      <c r="H81" s="2" t="s">
        <v>196</v>
      </c>
    </row>
    <row r="82" spans="1:8" s="12" customFormat="1" ht="15.5" x14ac:dyDescent="0.35">
      <c r="A82" s="20" t="s">
        <v>197</v>
      </c>
      <c r="F82" s="11"/>
      <c r="G82" s="11"/>
    </row>
    <row r="83" spans="1:8" s="8" customFormat="1" ht="10.5" outlineLevel="1" x14ac:dyDescent="0.25">
      <c r="A83" s="8" t="s">
        <v>198</v>
      </c>
      <c r="F83" s="10"/>
      <c r="G83" s="10"/>
    </row>
    <row r="84" spans="1:8" s="8" customFormat="1" ht="10.5" outlineLevel="1" x14ac:dyDescent="0.25">
      <c r="A84" s="8" t="s">
        <v>199</v>
      </c>
      <c r="F84" s="10"/>
      <c r="G84" s="10"/>
    </row>
    <row r="85" spans="1:8" s="8" customFormat="1" outlineLevel="1" x14ac:dyDescent="0.3">
      <c r="A85" s="1" t="s">
        <v>200</v>
      </c>
      <c r="B85" s="2">
        <v>1</v>
      </c>
      <c r="C85" s="2" t="s">
        <v>78</v>
      </c>
      <c r="D85" s="2">
        <v>100</v>
      </c>
      <c r="E85" s="2" t="s">
        <v>79</v>
      </c>
      <c r="F85" s="1">
        <f>my_pT(B85,D85)</f>
        <v>1.6478178107529025</v>
      </c>
      <c r="G85" s="1" t="s">
        <v>201</v>
      </c>
      <c r="H85" s="2" t="s">
        <v>202</v>
      </c>
    </row>
    <row r="86" spans="1:8" s="8" customFormat="1" outlineLevel="1" x14ac:dyDescent="0.3">
      <c r="A86" s="1" t="s">
        <v>203</v>
      </c>
      <c r="B86" s="2">
        <v>1</v>
      </c>
      <c r="C86" s="2" t="s">
        <v>78</v>
      </c>
      <c r="D86" s="2">
        <v>100</v>
      </c>
      <c r="E86" s="2" t="s">
        <v>50</v>
      </c>
      <c r="F86" s="9" t="e">
        <f>my_ph(B86,D86)</f>
        <v>#VALUE!</v>
      </c>
      <c r="G86" s="1" t="s">
        <v>201</v>
      </c>
      <c r="H86" s="2" t="s">
        <v>204</v>
      </c>
    </row>
    <row r="87" spans="1:8" s="8" customFormat="1" outlineLevel="1" x14ac:dyDescent="0.3">
      <c r="A87" s="1" t="s">
        <v>205</v>
      </c>
      <c r="B87" s="2">
        <v>1</v>
      </c>
      <c r="C87" s="2" t="s">
        <v>78</v>
      </c>
      <c r="D87" s="2">
        <v>1</v>
      </c>
      <c r="E87" s="2" t="s">
        <v>54</v>
      </c>
      <c r="F87" s="9">
        <f>my_ps(B87,D87)</f>
        <v>4.5730083658087298E-2</v>
      </c>
      <c r="G87" s="1" t="s">
        <v>201</v>
      </c>
      <c r="H87" s="2" t="s">
        <v>206</v>
      </c>
    </row>
    <row r="88" spans="1:8" ht="18" x14ac:dyDescent="0.4">
      <c r="A88" s="6" t="s">
        <v>207</v>
      </c>
      <c r="F88" s="9"/>
    </row>
    <row r="89" spans="1:8" outlineLevel="1" x14ac:dyDescent="0.3">
      <c r="A89" s="8" t="s">
        <v>208</v>
      </c>
      <c r="F89" s="9"/>
    </row>
    <row r="90" spans="1:8" outlineLevel="1" x14ac:dyDescent="0.3">
      <c r="A90" s="1" t="s">
        <v>209</v>
      </c>
      <c r="B90">
        <v>1</v>
      </c>
      <c r="C90" t="s">
        <v>78</v>
      </c>
      <c r="D90">
        <v>200</v>
      </c>
      <c r="E90" t="s">
        <v>79</v>
      </c>
      <c r="F90" s="9">
        <f>pr_pT(B90,D90)</f>
        <v>0.97012024380540329</v>
      </c>
      <c r="G90" s="1" t="s">
        <v>210</v>
      </c>
    </row>
    <row r="91" spans="1:8" outlineLevel="1" x14ac:dyDescent="0.3">
      <c r="A91" s="1" t="s">
        <v>211</v>
      </c>
      <c r="B91">
        <v>1</v>
      </c>
      <c r="C91" t="s">
        <v>78</v>
      </c>
      <c r="D91">
        <v>2875.4750649489024</v>
      </c>
      <c r="E91" t="s">
        <v>50</v>
      </c>
      <c r="F91" s="9" t="e">
        <f>pr_ph(B91,D91)</f>
        <v>#VALUE!</v>
      </c>
      <c r="G91" s="1" t="s">
        <v>210</v>
      </c>
    </row>
    <row r="92" spans="1:8" s="12" customFormat="1" ht="15.5" x14ac:dyDescent="0.35">
      <c r="A92" s="20" t="s">
        <v>212</v>
      </c>
      <c r="F92" s="11"/>
      <c r="G92" s="11"/>
    </row>
    <row r="93" spans="1:8" s="8" customFormat="1" ht="10.5" outlineLevel="1" x14ac:dyDescent="0.25">
      <c r="A93" s="8" t="s">
        <v>213</v>
      </c>
      <c r="F93" s="10"/>
      <c r="G93" s="10"/>
    </row>
    <row r="94" spans="1:8" s="8" customFormat="1" outlineLevel="1" x14ac:dyDescent="0.3">
      <c r="A94" s="1" t="s">
        <v>214</v>
      </c>
      <c r="B94" s="2">
        <v>1</v>
      </c>
      <c r="C94" s="2" t="s">
        <v>78</v>
      </c>
      <c r="D94" s="2"/>
      <c r="E94" s="2"/>
      <c r="F94" s="1">
        <f>tcL_p(B94)</f>
        <v>0.36222613868369979</v>
      </c>
      <c r="G94" s="1" t="s">
        <v>215</v>
      </c>
      <c r="H94" s="2" t="s">
        <v>216</v>
      </c>
    </row>
    <row r="95" spans="1:8" s="8" customFormat="1" outlineLevel="1" x14ac:dyDescent="0.3">
      <c r="A95" s="1" t="s">
        <v>217</v>
      </c>
      <c r="B95" s="2">
        <v>1</v>
      </c>
      <c r="C95" s="2" t="s">
        <v>78</v>
      </c>
      <c r="D95" s="2"/>
      <c r="E95" s="2"/>
      <c r="F95" s="1">
        <f>tcV_p(B95)</f>
        <v>1.1197748930408077E-2</v>
      </c>
      <c r="G95" s="1" t="s">
        <v>215</v>
      </c>
      <c r="H95" s="2" t="s">
        <v>218</v>
      </c>
    </row>
    <row r="96" spans="1:8" s="8" customFormat="1" outlineLevel="1" x14ac:dyDescent="0.3">
      <c r="A96" s="1" t="s">
        <v>219</v>
      </c>
      <c r="B96" s="2">
        <v>25</v>
      </c>
      <c r="C96" s="2" t="s">
        <v>79</v>
      </c>
      <c r="D96" s="2"/>
      <c r="E96" s="2"/>
      <c r="F96" s="1" t="e">
        <f>tcL_T(B96)</f>
        <v>#VALUE!</v>
      </c>
      <c r="G96" s="1" t="s">
        <v>215</v>
      </c>
      <c r="H96" s="2" t="s">
        <v>216</v>
      </c>
    </row>
    <row r="97" spans="1:8" s="8" customFormat="1" outlineLevel="1" x14ac:dyDescent="0.3">
      <c r="A97" s="1" t="s">
        <v>220</v>
      </c>
      <c r="B97" s="2">
        <v>25</v>
      </c>
      <c r="C97" s="2" t="s">
        <v>79</v>
      </c>
      <c r="D97" s="2"/>
      <c r="E97" s="2"/>
      <c r="F97" s="1" t="e">
        <f>tcV_T(B97)</f>
        <v>#VALUE!</v>
      </c>
      <c r="G97" s="1" t="s">
        <v>215</v>
      </c>
      <c r="H97" s="2" t="s">
        <v>218</v>
      </c>
    </row>
    <row r="98" spans="1:8" s="8" customFormat="1" outlineLevel="1" x14ac:dyDescent="0.3">
      <c r="A98" s="1" t="s">
        <v>221</v>
      </c>
      <c r="B98" s="2">
        <v>1</v>
      </c>
      <c r="C98" s="2" t="s">
        <v>78</v>
      </c>
      <c r="D98" s="2">
        <v>25</v>
      </c>
      <c r="E98" s="2" t="s">
        <v>79</v>
      </c>
      <c r="F98" s="1" t="e">
        <f>tc_pt(B98,D98)</f>
        <v>#VALUE!</v>
      </c>
      <c r="G98" s="1" t="s">
        <v>215</v>
      </c>
      <c r="H98" s="2" t="s">
        <v>222</v>
      </c>
    </row>
    <row r="99" spans="1:8" s="8" customFormat="1" outlineLevel="1" x14ac:dyDescent="0.3">
      <c r="A99" s="1" t="s">
        <v>223</v>
      </c>
      <c r="B99" s="2">
        <v>1</v>
      </c>
      <c r="C99" s="2" t="s">
        <v>78</v>
      </c>
      <c r="D99" s="2">
        <v>100</v>
      </c>
      <c r="E99" s="2" t="s">
        <v>54</v>
      </c>
      <c r="F99" s="1">
        <f>tc_ph(B99,D99)</f>
        <v>2.0136752000970422E-2</v>
      </c>
      <c r="G99" s="1" t="s">
        <v>215</v>
      </c>
      <c r="H99" s="2" t="s">
        <v>224</v>
      </c>
    </row>
    <row r="100" spans="1:8" s="8" customFormat="1" outlineLevel="1" x14ac:dyDescent="0.3">
      <c r="A100" s="1" t="s">
        <v>225</v>
      </c>
      <c r="B100" s="2">
        <v>100</v>
      </c>
      <c r="C100" s="2" t="s">
        <v>54</v>
      </c>
      <c r="D100" s="2">
        <v>0.34</v>
      </c>
      <c r="E100" s="2" t="s">
        <v>54</v>
      </c>
      <c r="F100" s="1" t="e">
        <f>tc_hs(B100,D100)</f>
        <v>#VALUE!</v>
      </c>
      <c r="G100" s="1" t="s">
        <v>215</v>
      </c>
      <c r="H100" s="2" t="s">
        <v>226</v>
      </c>
    </row>
    <row r="101" spans="1:8" s="8" customFormat="1" ht="15.5" x14ac:dyDescent="0.35">
      <c r="A101" s="20" t="s">
        <v>227</v>
      </c>
      <c r="B101" s="2"/>
      <c r="C101" s="2"/>
      <c r="D101" s="2"/>
      <c r="E101" s="2"/>
      <c r="F101" s="1"/>
      <c r="G101" s="1"/>
      <c r="H101" s="2"/>
    </row>
    <row r="102" spans="1:8" s="8" customFormat="1" ht="10.5" outlineLevel="1" x14ac:dyDescent="0.25">
      <c r="A102" s="8" t="s">
        <v>228</v>
      </c>
      <c r="F102" s="10"/>
      <c r="G102" s="10"/>
    </row>
    <row r="103" spans="1:8" s="8" customFormat="1" outlineLevel="1" x14ac:dyDescent="0.3">
      <c r="A103" s="1" t="s">
        <v>229</v>
      </c>
      <c r="B103" s="2">
        <v>100</v>
      </c>
      <c r="C103" s="2" t="s">
        <v>79</v>
      </c>
      <c r="D103" s="2"/>
      <c r="E103" s="2"/>
      <c r="F103" s="1">
        <f>st_T(B104)</f>
        <v>5.3422775305155355E-3</v>
      </c>
      <c r="G103" s="1" t="s">
        <v>230</v>
      </c>
      <c r="H103" s="2" t="s">
        <v>231</v>
      </c>
    </row>
    <row r="104" spans="1:8" s="8" customFormat="1" outlineLevel="1" x14ac:dyDescent="0.3">
      <c r="A104" s="1" t="s">
        <v>232</v>
      </c>
      <c r="B104" s="2">
        <v>1</v>
      </c>
      <c r="C104" s="2" t="s">
        <v>78</v>
      </c>
      <c r="D104" s="2"/>
      <c r="E104" s="2"/>
      <c r="F104" s="1">
        <f>st_p(B104)</f>
        <v>4.7830973201098753E-3</v>
      </c>
      <c r="G104" s="1" t="s">
        <v>230</v>
      </c>
      <c r="H104" s="2" t="s">
        <v>231</v>
      </c>
    </row>
    <row r="105" spans="1:8" s="12" customFormat="1" ht="15.5" x14ac:dyDescent="0.35">
      <c r="A105" s="20" t="s">
        <v>63</v>
      </c>
      <c r="F105" s="11"/>
      <c r="G105" s="11"/>
    </row>
    <row r="106" spans="1:8" s="8" customFormat="1" outlineLevel="1" x14ac:dyDescent="0.3">
      <c r="A106" s="1" t="s">
        <v>233</v>
      </c>
      <c r="B106" s="2">
        <v>1</v>
      </c>
      <c r="C106" s="2" t="s">
        <v>78</v>
      </c>
      <c r="D106" s="2">
        <v>1000</v>
      </c>
      <c r="E106" s="2" t="s">
        <v>50</v>
      </c>
      <c r="F106" s="1">
        <f>x_ph(B106,D106)</f>
        <v>0.89819618742791218</v>
      </c>
      <c r="G106" s="1"/>
      <c r="H106" s="2" t="s">
        <v>234</v>
      </c>
    </row>
    <row r="107" spans="1:8" s="8" customFormat="1" outlineLevel="1" x14ac:dyDescent="0.3">
      <c r="A107" s="1" t="s">
        <v>235</v>
      </c>
      <c r="B107" s="2">
        <v>1</v>
      </c>
      <c r="C107" s="2" t="s">
        <v>78</v>
      </c>
      <c r="D107" s="2">
        <v>4</v>
      </c>
      <c r="E107" s="2" t="s">
        <v>54</v>
      </c>
      <c r="F107" s="1">
        <f>x_ps(B107,D107)</f>
        <v>1</v>
      </c>
      <c r="G107" s="1"/>
      <c r="H107" s="2" t="s">
        <v>236</v>
      </c>
    </row>
    <row r="108" spans="1:8" s="12" customFormat="1" ht="15.5" x14ac:dyDescent="0.35">
      <c r="A108" s="20" t="s">
        <v>237</v>
      </c>
      <c r="F108" s="11"/>
      <c r="G108" s="11"/>
    </row>
    <row r="109" spans="1:8" s="8" customFormat="1" ht="10.5" outlineLevel="1" x14ac:dyDescent="0.25">
      <c r="A109" s="8" t="s">
        <v>238</v>
      </c>
      <c r="F109" s="10"/>
      <c r="G109" s="10"/>
    </row>
    <row r="110" spans="1:8" s="8" customFormat="1" ht="10.5" outlineLevel="1" x14ac:dyDescent="0.25">
      <c r="A110" s="8" t="s">
        <v>239</v>
      </c>
      <c r="F110" s="10"/>
      <c r="G110" s="10"/>
    </row>
    <row r="111" spans="1:8" s="8" customFormat="1" outlineLevel="1" x14ac:dyDescent="0.3">
      <c r="A111" s="1" t="s">
        <v>240</v>
      </c>
      <c r="B111" s="2">
        <v>1</v>
      </c>
      <c r="C111" s="2" t="s">
        <v>78</v>
      </c>
      <c r="D111" s="2">
        <v>418</v>
      </c>
      <c r="E111" s="2" t="s">
        <v>50</v>
      </c>
      <c r="F111" s="7">
        <f>vx_ph(B111,D111)</f>
        <v>0.99990450365888783</v>
      </c>
      <c r="G111" s="1"/>
      <c r="H111" s="2" t="s">
        <v>241</v>
      </c>
    </row>
    <row r="112" spans="1:8" s="8" customFormat="1" outlineLevel="1" x14ac:dyDescent="0.3">
      <c r="A112" s="1" t="s">
        <v>242</v>
      </c>
      <c r="B112" s="2">
        <v>1</v>
      </c>
      <c r="C112" s="2" t="s">
        <v>78</v>
      </c>
      <c r="D112" s="2">
        <v>4</v>
      </c>
      <c r="E112" s="2" t="s">
        <v>54</v>
      </c>
      <c r="F112" s="7">
        <f>vx_ps(B112,D112)</f>
        <v>1</v>
      </c>
      <c r="G112" s="1"/>
      <c r="H112" s="2" t="s">
        <v>243</v>
      </c>
    </row>
    <row r="113" spans="1:11" s="8" customFormat="1" ht="10.5" x14ac:dyDescent="0.25">
      <c r="F113" s="10"/>
      <c r="G113" s="10"/>
    </row>
    <row r="114" spans="1:11" ht="15.5" x14ac:dyDescent="0.35">
      <c r="A114" s="20" t="s">
        <v>244</v>
      </c>
    </row>
    <row r="115" spans="1:11" x14ac:dyDescent="0.3">
      <c r="A115" s="10" t="s">
        <v>245</v>
      </c>
    </row>
    <row r="116" spans="1:11" x14ac:dyDescent="0.3">
      <c r="A116" s="8" t="s">
        <v>246</v>
      </c>
    </row>
    <row r="117" spans="1:11" ht="12" customHeight="1" x14ac:dyDescent="0.3">
      <c r="A117" s="8" t="s">
        <v>247</v>
      </c>
      <c r="K117" s="8"/>
    </row>
    <row r="118" spans="1:11" ht="11.5" customHeight="1" x14ac:dyDescent="0.3">
      <c r="A118" s="8" t="s">
        <v>248</v>
      </c>
    </row>
    <row r="119" spans="1:11" ht="11.5" customHeight="1" x14ac:dyDescent="0.3">
      <c r="A119" s="8" t="s">
        <v>249</v>
      </c>
    </row>
    <row r="120" spans="1:11" x14ac:dyDescent="0.3">
      <c r="A120" s="10" t="s">
        <v>250</v>
      </c>
    </row>
    <row r="121" spans="1:11" x14ac:dyDescent="0.3">
      <c r="A121" s="8" t="s">
        <v>251</v>
      </c>
    </row>
    <row r="122" spans="1:11" x14ac:dyDescent="0.3">
      <c r="A122" s="8" t="s">
        <v>252</v>
      </c>
    </row>
    <row r="123" spans="1:11" x14ac:dyDescent="0.3">
      <c r="A123" s="8" t="s">
        <v>253</v>
      </c>
    </row>
    <row r="124" spans="1:11" x14ac:dyDescent="0.3">
      <c r="A124" s="8" t="s">
        <v>254</v>
      </c>
    </row>
    <row r="125" spans="1:11" x14ac:dyDescent="0.3">
      <c r="A125" s="8" t="s">
        <v>255</v>
      </c>
    </row>
    <row r="126" spans="1:11" x14ac:dyDescent="0.3">
      <c r="A126" s="10" t="s">
        <v>256</v>
      </c>
    </row>
    <row r="127" spans="1:11" x14ac:dyDescent="0.3">
      <c r="A127" s="8" t="s">
        <v>252</v>
      </c>
    </row>
    <row r="128" spans="1:11" x14ac:dyDescent="0.3">
      <c r="A128" s="8" t="s">
        <v>257</v>
      </c>
    </row>
    <row r="129" spans="1:1" x14ac:dyDescent="0.3">
      <c r="A129" s="8" t="s">
        <v>258</v>
      </c>
    </row>
    <row r="130" spans="1:1" x14ac:dyDescent="0.3">
      <c r="A130" s="8" t="s">
        <v>259</v>
      </c>
    </row>
    <row r="131" spans="1:1" x14ac:dyDescent="0.3">
      <c r="A131" s="8" t="s">
        <v>260</v>
      </c>
    </row>
    <row r="132" spans="1:1" x14ac:dyDescent="0.3">
      <c r="A132" s="10" t="s">
        <v>261</v>
      </c>
    </row>
    <row r="133" spans="1:1" x14ac:dyDescent="0.3">
      <c r="A133" s="8" t="s">
        <v>262</v>
      </c>
    </row>
    <row r="134" spans="1:1" x14ac:dyDescent="0.3">
      <c r="A134" s="8" t="s">
        <v>263</v>
      </c>
    </row>
    <row r="135" spans="1:1" x14ac:dyDescent="0.3">
      <c r="A135" s="8" t="s">
        <v>264</v>
      </c>
    </row>
    <row r="136" spans="1:1" x14ac:dyDescent="0.3">
      <c r="A136" s="10" t="s">
        <v>265</v>
      </c>
    </row>
    <row r="137" spans="1:1" x14ac:dyDescent="0.3">
      <c r="A137" s="8" t="s">
        <v>266</v>
      </c>
    </row>
    <row r="138" spans="1:1" x14ac:dyDescent="0.3">
      <c r="A138" s="8" t="s">
        <v>267</v>
      </c>
    </row>
    <row r="139" spans="1:1" x14ac:dyDescent="0.3">
      <c r="A139" s="8" t="s">
        <v>268</v>
      </c>
    </row>
    <row r="140" spans="1:1" x14ac:dyDescent="0.3">
      <c r="A140" s="8" t="s">
        <v>269</v>
      </c>
    </row>
    <row r="141" spans="1:1" x14ac:dyDescent="0.3">
      <c r="A141" s="8" t="s">
        <v>270</v>
      </c>
    </row>
  </sheetData>
  <phoneticPr fontId="0" type="noConversion"/>
  <hyperlinks>
    <hyperlink ref="E1" r:id="rId1" xr:uid="{00000000-0004-0000-0200-000000000000}"/>
    <hyperlink ref="F4" r:id="rId2" xr:uid="{00000000-0004-0000-0200-000001000000}"/>
  </hyperlinks>
  <pageMargins left="0.75" right="0.75" top="1" bottom="1" header="0.5" footer="0.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STALL CHART</vt:lpstr>
      <vt:lpstr>Properties</vt:lpstr>
      <vt:lpstr>Functions</vt:lpstr>
      <vt:lpstr>'STALL CHART'!Print_Area</vt:lpstr>
      <vt:lpstr>Stall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John-Henry Fischer (SXS US)</cp:lastModifiedBy>
  <cp:revision/>
  <dcterms:created xsi:type="dcterms:W3CDTF">1996-10-14T23:33:28Z</dcterms:created>
  <dcterms:modified xsi:type="dcterms:W3CDTF">2024-02-07T15:35:11Z</dcterms:modified>
  <cp:category/>
  <cp:contentStatus/>
</cp:coreProperties>
</file>